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ther\(DA &amp; DS Projects)\"/>
    </mc:Choice>
  </mc:AlternateContent>
  <xr:revisionPtr revIDLastSave="0" documentId="13_ncr:1_{D06B1E6F-DD47-402C-9E79-1A519C758DB5}" xr6:coauthVersionLast="47" xr6:coauthVersionMax="47" xr10:uidLastSave="{00000000-0000-0000-0000-000000000000}"/>
  <bookViews>
    <workbookView xWindow="-108" yWindow="-108" windowWidth="23256" windowHeight="12456" firstSheet="4" activeTab="10" xr2:uid="{00000000-000D-0000-FFFF-FFFF00000000}"/>
  </bookViews>
  <sheets>
    <sheet name="Main Menu" sheetId="12" r:id="rId1"/>
    <sheet name="Semester 1" sheetId="1" r:id="rId2"/>
    <sheet name="Semester 2" sheetId="2" r:id="rId3"/>
    <sheet name="Semester 3" sheetId="4" r:id="rId4"/>
    <sheet name="Semester 4" sheetId="5" r:id="rId5"/>
    <sheet name="Semester 5" sheetId="6" r:id="rId6"/>
    <sheet name="Semester 6" sheetId="8" r:id="rId7"/>
    <sheet name="Semester 7" sheetId="9" r:id="rId8"/>
    <sheet name="Semester 8" sheetId="10" r:id="rId9"/>
    <sheet name="Cummulative Sheet" sheetId="11" r:id="rId10"/>
    <sheet name="Transcript" sheetId="13" r:id="rId11"/>
  </sheets>
  <definedNames>
    <definedName name="_xlnm.Print_Area" localSheetId="10">Transcript!$A$1:$P$67</definedName>
    <definedName name="SEMESTER_1">'Semester 1'!$B$8:$B$19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" l="1"/>
  <c r="CC14" i="11"/>
  <c r="BC14" i="11"/>
  <c r="DK15" i="11"/>
  <c r="DK16" i="11"/>
  <c r="DK17" i="11"/>
  <c r="DK18" i="11"/>
  <c r="DK19" i="11"/>
  <c r="DK20" i="11"/>
  <c r="DK21" i="11"/>
  <c r="DK22" i="11"/>
  <c r="DK23" i="11"/>
  <c r="DK14" i="11"/>
  <c r="K15" i="13" s="1"/>
  <c r="F30" i="13"/>
  <c r="C88" i="11"/>
  <c r="C82" i="11"/>
  <c r="D82" i="11"/>
  <c r="C83" i="11"/>
  <c r="D83" i="11"/>
  <c r="C84" i="11"/>
  <c r="D84" i="11"/>
  <c r="C85" i="11"/>
  <c r="D85" i="11"/>
  <c r="C86" i="11"/>
  <c r="D86" i="11"/>
  <c r="C87" i="11"/>
  <c r="D87" i="11"/>
  <c r="B83" i="11"/>
  <c r="B84" i="11"/>
  <c r="B85" i="11"/>
  <c r="B86" i="11"/>
  <c r="B87" i="11"/>
  <c r="B82" i="11"/>
  <c r="C80" i="11"/>
  <c r="D74" i="11"/>
  <c r="D75" i="11"/>
  <c r="D76" i="11"/>
  <c r="D77" i="11"/>
  <c r="D78" i="11"/>
  <c r="D79" i="11"/>
  <c r="C74" i="11"/>
  <c r="C75" i="11"/>
  <c r="C76" i="11"/>
  <c r="C77" i="11"/>
  <c r="C78" i="11"/>
  <c r="C79" i="11"/>
  <c r="B75" i="11"/>
  <c r="B76" i="11"/>
  <c r="B77" i="11"/>
  <c r="B78" i="11"/>
  <c r="B79" i="11"/>
  <c r="B74" i="11"/>
  <c r="C72" i="11"/>
  <c r="D65" i="11"/>
  <c r="D66" i="11"/>
  <c r="D67" i="11"/>
  <c r="D68" i="11"/>
  <c r="D69" i="11"/>
  <c r="D70" i="11"/>
  <c r="D71" i="11"/>
  <c r="C65" i="11"/>
  <c r="C66" i="11"/>
  <c r="C67" i="11"/>
  <c r="C68" i="11"/>
  <c r="C69" i="11"/>
  <c r="C70" i="11"/>
  <c r="C71" i="11"/>
  <c r="B66" i="11"/>
  <c r="B67" i="11"/>
  <c r="B68" i="11"/>
  <c r="B69" i="11"/>
  <c r="B70" i="11"/>
  <c r="B71" i="11"/>
  <c r="B65" i="11"/>
  <c r="C57" i="11"/>
  <c r="C63" i="11"/>
  <c r="D57" i="11"/>
  <c r="D58" i="11"/>
  <c r="D59" i="11"/>
  <c r="D60" i="11"/>
  <c r="D61" i="11"/>
  <c r="D62" i="11"/>
  <c r="C58" i="11"/>
  <c r="C59" i="11"/>
  <c r="C60" i="11"/>
  <c r="C61" i="11"/>
  <c r="C62" i="11"/>
  <c r="B58" i="11"/>
  <c r="B59" i="11"/>
  <c r="B60" i="11"/>
  <c r="B61" i="11"/>
  <c r="B62" i="11"/>
  <c r="B57" i="11"/>
  <c r="C55" i="11"/>
  <c r="D50" i="11"/>
  <c r="D51" i="11"/>
  <c r="D52" i="11"/>
  <c r="D53" i="11"/>
  <c r="D54" i="11"/>
  <c r="D49" i="11"/>
  <c r="C49" i="11"/>
  <c r="C50" i="11"/>
  <c r="C51" i="11"/>
  <c r="C52" i="11"/>
  <c r="C53" i="11"/>
  <c r="C54" i="11"/>
  <c r="B50" i="11"/>
  <c r="B51" i="11"/>
  <c r="B52" i="11"/>
  <c r="B53" i="11"/>
  <c r="B54" i="11"/>
  <c r="B49" i="11"/>
  <c r="C47" i="11"/>
  <c r="D43" i="11"/>
  <c r="D44" i="11"/>
  <c r="D45" i="11"/>
  <c r="D46" i="11"/>
  <c r="D42" i="11"/>
  <c r="C42" i="11"/>
  <c r="C43" i="11"/>
  <c r="C44" i="11"/>
  <c r="C45" i="11"/>
  <c r="C46" i="11"/>
  <c r="B43" i="11"/>
  <c r="B44" i="11"/>
  <c r="B45" i="11"/>
  <c r="B46" i="11"/>
  <c r="B42" i="11"/>
  <c r="D35" i="11"/>
  <c r="D36" i="11"/>
  <c r="D37" i="11"/>
  <c r="D38" i="11"/>
  <c r="D39" i="11"/>
  <c r="C35" i="11"/>
  <c r="C36" i="11"/>
  <c r="C37" i="11"/>
  <c r="C38" i="11"/>
  <c r="C39" i="11"/>
  <c r="C40" i="11"/>
  <c r="B35" i="11"/>
  <c r="B36" i="11"/>
  <c r="B37" i="11"/>
  <c r="B38" i="11"/>
  <c r="B39" i="11"/>
  <c r="D28" i="11"/>
  <c r="D29" i="11"/>
  <c r="D30" i="11"/>
  <c r="D31" i="11"/>
  <c r="D32" i="11"/>
  <c r="D26" i="11"/>
  <c r="B28" i="11"/>
  <c r="C28" i="11"/>
  <c r="B29" i="11"/>
  <c r="C29" i="11"/>
  <c r="B30" i="11"/>
  <c r="C30" i="11"/>
  <c r="B31" i="11"/>
  <c r="C31" i="11"/>
  <c r="B32" i="11"/>
  <c r="C32" i="11"/>
  <c r="C33" i="11"/>
  <c r="C26" i="11"/>
  <c r="B26" i="11"/>
  <c r="G61" i="13"/>
  <c r="K56" i="13"/>
  <c r="K55" i="13"/>
  <c r="K54" i="13"/>
  <c r="K53" i="13"/>
  <c r="K52" i="13"/>
  <c r="K51" i="13"/>
  <c r="K46" i="13"/>
  <c r="K45" i="13"/>
  <c r="K44" i="13"/>
  <c r="K43" i="13"/>
  <c r="K42" i="13"/>
  <c r="K41" i="13"/>
  <c r="K36" i="13"/>
  <c r="K35" i="13"/>
  <c r="K34" i="13"/>
  <c r="K33" i="13"/>
  <c r="K32" i="13"/>
  <c r="K31" i="13"/>
  <c r="K30" i="13"/>
  <c r="K25" i="13"/>
  <c r="K24" i="13"/>
  <c r="K23" i="13"/>
  <c r="K22" i="13"/>
  <c r="K21" i="13"/>
  <c r="K20" i="13"/>
  <c r="F56" i="13"/>
  <c r="F55" i="13"/>
  <c r="F54" i="13"/>
  <c r="F53" i="13"/>
  <c r="F52" i="13"/>
  <c r="F51" i="13"/>
  <c r="F45" i="13"/>
  <c r="F44" i="13"/>
  <c r="F43" i="13"/>
  <c r="F42" i="13"/>
  <c r="F41" i="13"/>
  <c r="F34" i="13"/>
  <c r="F33" i="13"/>
  <c r="F32" i="13"/>
  <c r="F31" i="13"/>
  <c r="F24" i="13"/>
  <c r="F23" i="13"/>
  <c r="F22" i="13"/>
  <c r="F21" i="13"/>
  <c r="F20" i="13"/>
  <c r="CW13" i="11" l="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CU13" i="11"/>
  <c r="CV13" i="11"/>
  <c r="CQ13" i="11"/>
  <c r="CR13" i="11"/>
  <c r="CS13" i="11"/>
  <c r="CT13" i="11"/>
  <c r="CI13" i="11"/>
  <c r="CJ13" i="11"/>
  <c r="CK13" i="11"/>
  <c r="CL13" i="11"/>
  <c r="CM13" i="11"/>
  <c r="CN13" i="11"/>
  <c r="CO13" i="11"/>
  <c r="CP13" i="11"/>
  <c r="CG13" i="11"/>
  <c r="CH13" i="11"/>
  <c r="CC13" i="11"/>
  <c r="CD13" i="11"/>
  <c r="CE13" i="11"/>
  <c r="CF13" i="11"/>
  <c r="BS13" i="11"/>
  <c r="BT13" i="11"/>
  <c r="BU13" i="11"/>
  <c r="BV13" i="11"/>
  <c r="BW13" i="11"/>
  <c r="BX13" i="11"/>
  <c r="BY13" i="11"/>
  <c r="BZ13" i="11"/>
  <c r="CA13" i="11"/>
  <c r="CB13" i="11"/>
  <c r="BM13" i="11"/>
  <c r="BN13" i="11"/>
  <c r="BO13" i="11"/>
  <c r="BP13" i="11"/>
  <c r="BQ13" i="11"/>
  <c r="BR13" i="11"/>
  <c r="BE13" i="11"/>
  <c r="BF13" i="11"/>
  <c r="BG13" i="11"/>
  <c r="BH13" i="11"/>
  <c r="BI13" i="11"/>
  <c r="BJ13" i="11"/>
  <c r="BK13" i="11"/>
  <c r="BL13" i="11"/>
  <c r="BC13" i="11"/>
  <c r="BD13" i="11"/>
  <c r="BA13" i="11"/>
  <c r="BB13" i="11"/>
  <c r="AZ13" i="11"/>
  <c r="AW13" i="11"/>
  <c r="AX13" i="11"/>
  <c r="AY13" i="11"/>
  <c r="AV13" i="11"/>
  <c r="AQ13" i="11"/>
  <c r="AR13" i="11"/>
  <c r="AS13" i="11"/>
  <c r="AT13" i="11"/>
  <c r="AU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D13" i="11"/>
  <c r="Y13" i="11"/>
  <c r="Z13" i="11"/>
  <c r="AA13" i="11"/>
  <c r="AB13" i="11"/>
  <c r="AC13" i="11"/>
  <c r="U13" i="11"/>
  <c r="V13" i="11"/>
  <c r="W13" i="11"/>
  <c r="X13" i="11"/>
  <c r="T13" i="11"/>
  <c r="S13" i="11"/>
  <c r="R13" i="11"/>
  <c r="P13" i="11"/>
  <c r="Q13" i="11"/>
  <c r="O13" i="11"/>
  <c r="N13" i="11"/>
  <c r="M13" i="11"/>
  <c r="L13" i="11"/>
  <c r="K13" i="11"/>
  <c r="J13" i="11"/>
  <c r="I13" i="11"/>
  <c r="H13" i="11"/>
  <c r="G13" i="11"/>
  <c r="F13" i="11"/>
  <c r="D13" i="11"/>
  <c r="D14" i="11"/>
  <c r="D15" i="11"/>
  <c r="D16" i="11"/>
  <c r="D17" i="11"/>
  <c r="D18" i="11"/>
  <c r="D19" i="11"/>
  <c r="D20" i="11"/>
  <c r="D21" i="11"/>
  <c r="D22" i="11"/>
  <c r="D23" i="11"/>
  <c r="B23" i="11"/>
  <c r="B14" i="11"/>
  <c r="B15" i="11"/>
  <c r="B16" i="11"/>
  <c r="B17" i="11"/>
  <c r="B18" i="11"/>
  <c r="B19" i="11"/>
  <c r="B20" i="11"/>
  <c r="B21" i="11"/>
  <c r="B22" i="11"/>
  <c r="B13" i="11"/>
  <c r="B10" i="2"/>
  <c r="AW10" i="8"/>
  <c r="AW11" i="8"/>
  <c r="AW12" i="8"/>
  <c r="AZ12" i="8" s="1"/>
  <c r="AW13" i="8"/>
  <c r="AW14" i="8"/>
  <c r="AW15" i="8"/>
  <c r="AW16" i="8"/>
  <c r="AX16" i="8" s="1"/>
  <c r="AY16" i="8" s="1"/>
  <c r="CF20" i="11" s="1"/>
  <c r="AW17" i="8"/>
  <c r="AW18" i="8"/>
  <c r="AX18" i="8" s="1"/>
  <c r="AY18" i="8" s="1"/>
  <c r="CF22" i="11" s="1"/>
  <c r="AW19" i="8"/>
  <c r="H30" i="10"/>
  <c r="D88" i="11" s="1"/>
  <c r="G30" i="9"/>
  <c r="D80" i="11" s="1"/>
  <c r="H29" i="8"/>
  <c r="D72" i="11" s="1"/>
  <c r="H30" i="6"/>
  <c r="D63" i="11" s="1"/>
  <c r="H30" i="4"/>
  <c r="D47" i="11" s="1"/>
  <c r="H30" i="5"/>
  <c r="D55" i="11" s="1"/>
  <c r="AX12" i="8" l="1"/>
  <c r="AY12" i="8" s="1"/>
  <c r="CF16" i="11" s="1"/>
  <c r="CE20" i="11"/>
  <c r="F14" i="13"/>
  <c r="F15" i="13"/>
  <c r="F16" i="13"/>
  <c r="AZ14" i="8"/>
  <c r="CE18" i="11"/>
  <c r="AX13" i="8"/>
  <c r="AY13" i="8" s="1"/>
  <c r="CF17" i="11" s="1"/>
  <c r="CE17" i="11"/>
  <c r="CE22" i="11"/>
  <c r="AX11" i="8"/>
  <c r="AY11" i="8" s="1"/>
  <c r="CF15" i="11" s="1"/>
  <c r="CE15" i="11"/>
  <c r="AX10" i="8"/>
  <c r="AY10" i="8" s="1"/>
  <c r="CF14" i="11" s="1"/>
  <c r="CE14" i="11"/>
  <c r="CE16" i="11"/>
  <c r="AX19" i="8"/>
  <c r="AY19" i="8" s="1"/>
  <c r="CF23" i="11" s="1"/>
  <c r="CE23" i="11"/>
  <c r="AX17" i="8"/>
  <c r="AY17" i="8" s="1"/>
  <c r="CF21" i="11" s="1"/>
  <c r="CE21" i="11"/>
  <c r="AZ15" i="8"/>
  <c r="CE19" i="11"/>
  <c r="AX15" i="8"/>
  <c r="AY15" i="8" s="1"/>
  <c r="CF19" i="11" s="1"/>
  <c r="AZ13" i="8"/>
  <c r="AX14" i="8"/>
  <c r="AY14" i="8" s="1"/>
  <c r="CF18" i="11" s="1"/>
  <c r="AZ10" i="8"/>
  <c r="AZ19" i="8"/>
  <c r="AZ11" i="8"/>
  <c r="AZ18" i="8"/>
  <c r="AZ17" i="8"/>
  <c r="AZ16" i="8"/>
  <c r="N28" i="2"/>
  <c r="D40" i="11" s="1"/>
  <c r="V28" i="1"/>
  <c r="D33" i="11" s="1"/>
  <c r="AB10" i="1"/>
  <c r="N10" i="10"/>
  <c r="N11" i="10"/>
  <c r="N12" i="10"/>
  <c r="Q12" i="10" s="1"/>
  <c r="N13" i="10"/>
  <c r="N14" i="10"/>
  <c r="N15" i="10"/>
  <c r="N16" i="10"/>
  <c r="N17" i="10"/>
  <c r="N18" i="10"/>
  <c r="N19" i="10"/>
  <c r="N10" i="9"/>
  <c r="N11" i="9"/>
  <c r="N12" i="9"/>
  <c r="N13" i="9"/>
  <c r="N14" i="9"/>
  <c r="N15" i="9"/>
  <c r="N16" i="9"/>
  <c r="N17" i="9"/>
  <c r="N18" i="9"/>
  <c r="N19" i="9"/>
  <c r="N10" i="8"/>
  <c r="N11" i="8"/>
  <c r="N12" i="8"/>
  <c r="N13" i="8"/>
  <c r="N14" i="8"/>
  <c r="N15" i="8"/>
  <c r="N16" i="8"/>
  <c r="N17" i="8"/>
  <c r="N18" i="8"/>
  <c r="N19" i="8"/>
  <c r="N10" i="6"/>
  <c r="N11" i="6"/>
  <c r="N12" i="6"/>
  <c r="N13" i="6"/>
  <c r="N14" i="6"/>
  <c r="N15" i="6"/>
  <c r="N16" i="6"/>
  <c r="Q16" i="6" s="1"/>
  <c r="N17" i="6"/>
  <c r="N18" i="6"/>
  <c r="N19" i="6"/>
  <c r="N10" i="5"/>
  <c r="N11" i="5"/>
  <c r="N12" i="5"/>
  <c r="N13" i="5"/>
  <c r="N14" i="5"/>
  <c r="Q14" i="5" s="1"/>
  <c r="N15" i="5"/>
  <c r="N16" i="5"/>
  <c r="N17" i="5"/>
  <c r="N18" i="5"/>
  <c r="N19" i="5"/>
  <c r="G10" i="10"/>
  <c r="J10" i="10" s="1"/>
  <c r="G11" i="10"/>
  <c r="G12" i="10"/>
  <c r="J12" i="10" s="1"/>
  <c r="G13" i="10"/>
  <c r="J13" i="10" s="1"/>
  <c r="G14" i="10"/>
  <c r="G15" i="10"/>
  <c r="G16" i="10"/>
  <c r="G17" i="10"/>
  <c r="G18" i="10"/>
  <c r="G19" i="10"/>
  <c r="U10" i="10"/>
  <c r="U11" i="10"/>
  <c r="U12" i="10"/>
  <c r="U13" i="10"/>
  <c r="U14" i="10"/>
  <c r="U15" i="10"/>
  <c r="U16" i="10"/>
  <c r="X16" i="10" s="1"/>
  <c r="U17" i="10"/>
  <c r="X17" i="10" s="1"/>
  <c r="U18" i="10"/>
  <c r="U19" i="10"/>
  <c r="AB10" i="10"/>
  <c r="AB11" i="10"/>
  <c r="AB12" i="10"/>
  <c r="AB13" i="10"/>
  <c r="AB14" i="10"/>
  <c r="AB15" i="10"/>
  <c r="AB16" i="10"/>
  <c r="AE16" i="10" s="1"/>
  <c r="AB17" i="10"/>
  <c r="AB18" i="10"/>
  <c r="AB19" i="10"/>
  <c r="AI10" i="10"/>
  <c r="AI11" i="10"/>
  <c r="AI12" i="10"/>
  <c r="AL12" i="10" s="1"/>
  <c r="AI13" i="10"/>
  <c r="DE17" i="11" s="1"/>
  <c r="AI14" i="10"/>
  <c r="AI15" i="10"/>
  <c r="AI16" i="10"/>
  <c r="AI17" i="10"/>
  <c r="AI18" i="10"/>
  <c r="AI19" i="10"/>
  <c r="AP10" i="10"/>
  <c r="DG14" i="11" s="1"/>
  <c r="AP11" i="10"/>
  <c r="AP12" i="10"/>
  <c r="DG16" i="11" s="1"/>
  <c r="AP13" i="10"/>
  <c r="AP14" i="10"/>
  <c r="AP15" i="10"/>
  <c r="DG19" i="11" s="1"/>
  <c r="AP16" i="10"/>
  <c r="AP17" i="10"/>
  <c r="AP18" i="10"/>
  <c r="AP19" i="10"/>
  <c r="AJ14" i="10"/>
  <c r="AK14" i="10" s="1"/>
  <c r="DF18" i="11" s="1"/>
  <c r="B9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10" i="10"/>
  <c r="B10" i="10"/>
  <c r="C9" i="10"/>
  <c r="G10" i="9"/>
  <c r="G11" i="9"/>
  <c r="G12" i="9"/>
  <c r="G13" i="9"/>
  <c r="G14" i="9"/>
  <c r="G15" i="9"/>
  <c r="G16" i="9"/>
  <c r="G17" i="9"/>
  <c r="G18" i="9"/>
  <c r="G19" i="9"/>
  <c r="U10" i="9"/>
  <c r="U11" i="9"/>
  <c r="U12" i="9"/>
  <c r="U13" i="9"/>
  <c r="X13" i="9" s="1"/>
  <c r="U14" i="9"/>
  <c r="U15" i="9"/>
  <c r="U16" i="9"/>
  <c r="U17" i="9"/>
  <c r="U18" i="9"/>
  <c r="X18" i="9" s="1"/>
  <c r="U19" i="9"/>
  <c r="AB10" i="9"/>
  <c r="AB11" i="9"/>
  <c r="AB12" i="9"/>
  <c r="AB13" i="9"/>
  <c r="AB14" i="9"/>
  <c r="AE14" i="9" s="1"/>
  <c r="AB15" i="9"/>
  <c r="CO19" i="11" s="1"/>
  <c r="AB16" i="9"/>
  <c r="AB17" i="9"/>
  <c r="AB18" i="9"/>
  <c r="AB19" i="9"/>
  <c r="AP10" i="9"/>
  <c r="AP11" i="9"/>
  <c r="AP12" i="9"/>
  <c r="AP13" i="9"/>
  <c r="AP14" i="9"/>
  <c r="AP15" i="9"/>
  <c r="AP16" i="9"/>
  <c r="AP17" i="9"/>
  <c r="AS17" i="9" s="1"/>
  <c r="AP18" i="9"/>
  <c r="AP19" i="9"/>
  <c r="AI10" i="9"/>
  <c r="AI11" i="9"/>
  <c r="AI12" i="9"/>
  <c r="AI13" i="9"/>
  <c r="AI14" i="9"/>
  <c r="AI15" i="9"/>
  <c r="AI16" i="9"/>
  <c r="AI17" i="9"/>
  <c r="AI18" i="9"/>
  <c r="AI19" i="9"/>
  <c r="CQ23" i="11" s="1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G10" i="8"/>
  <c r="G11" i="8"/>
  <c r="G12" i="8"/>
  <c r="G13" i="8"/>
  <c r="G14" i="8"/>
  <c r="G15" i="8"/>
  <c r="G16" i="8"/>
  <c r="G17" i="8"/>
  <c r="G18" i="8"/>
  <c r="G19" i="8"/>
  <c r="U10" i="8"/>
  <c r="U11" i="8"/>
  <c r="U12" i="8"/>
  <c r="U13" i="8"/>
  <c r="U14" i="8"/>
  <c r="U15" i="8"/>
  <c r="U16" i="8"/>
  <c r="U17" i="8"/>
  <c r="U18" i="8"/>
  <c r="BW22" i="11" s="1"/>
  <c r="U19" i="8"/>
  <c r="AB10" i="8"/>
  <c r="AB11" i="8"/>
  <c r="AB12" i="8"/>
  <c r="AB13" i="8"/>
  <c r="AB14" i="8"/>
  <c r="AB15" i="8"/>
  <c r="AB16" i="8"/>
  <c r="AB17" i="8"/>
  <c r="AB18" i="8"/>
  <c r="AB19" i="8"/>
  <c r="AI10" i="8"/>
  <c r="CA14" i="11" s="1"/>
  <c r="AI11" i="8"/>
  <c r="AI12" i="8"/>
  <c r="CA16" i="11" s="1"/>
  <c r="AI13" i="8"/>
  <c r="CA17" i="11" s="1"/>
  <c r="AI14" i="8"/>
  <c r="AI15" i="8"/>
  <c r="AI16" i="8"/>
  <c r="AI17" i="8"/>
  <c r="AI18" i="8"/>
  <c r="AI19" i="8"/>
  <c r="AP10" i="8"/>
  <c r="AP11" i="8"/>
  <c r="AP12" i="8"/>
  <c r="AS12" i="8" s="1"/>
  <c r="AP13" i="8"/>
  <c r="AP14" i="8"/>
  <c r="AP15" i="8"/>
  <c r="AP16" i="8"/>
  <c r="AP17" i="8"/>
  <c r="AP18" i="8"/>
  <c r="AP19" i="8"/>
  <c r="C14" i="8"/>
  <c r="C19" i="8"/>
  <c r="B19" i="8"/>
  <c r="C18" i="8"/>
  <c r="B18" i="8"/>
  <c r="C17" i="8"/>
  <c r="B17" i="8"/>
  <c r="C16" i="8"/>
  <c r="B16" i="8"/>
  <c r="C15" i="8"/>
  <c r="B15" i="8"/>
  <c r="B14" i="8"/>
  <c r="C13" i="8"/>
  <c r="B13" i="8"/>
  <c r="C12" i="8"/>
  <c r="B12" i="8"/>
  <c r="C11" i="8"/>
  <c r="B11" i="8"/>
  <c r="C10" i="8"/>
  <c r="B10" i="8"/>
  <c r="C9" i="8"/>
  <c r="B9" i="8"/>
  <c r="B9" i="6"/>
  <c r="AP10" i="6"/>
  <c r="AP11" i="6"/>
  <c r="AP12" i="6"/>
  <c r="AS12" i="6" s="1"/>
  <c r="AP13" i="6"/>
  <c r="AP14" i="6"/>
  <c r="AP15" i="6"/>
  <c r="AP16" i="6"/>
  <c r="AP17" i="6"/>
  <c r="AS17" i="6" s="1"/>
  <c r="AP18" i="6"/>
  <c r="AP19" i="6"/>
  <c r="AI10" i="6"/>
  <c r="AI11" i="6"/>
  <c r="AI12" i="6"/>
  <c r="AI13" i="6"/>
  <c r="AI14" i="6"/>
  <c r="AI15" i="6"/>
  <c r="AI16" i="6"/>
  <c r="AI17" i="6"/>
  <c r="AI18" i="6"/>
  <c r="AI19" i="6"/>
  <c r="AB10" i="6"/>
  <c r="AB11" i="6"/>
  <c r="AB12" i="6"/>
  <c r="AB13" i="6"/>
  <c r="AE13" i="6" s="1"/>
  <c r="AB14" i="6"/>
  <c r="AE14" i="6" s="1"/>
  <c r="AB15" i="6"/>
  <c r="AB16" i="6"/>
  <c r="AB17" i="6"/>
  <c r="AB18" i="6"/>
  <c r="AB19" i="6"/>
  <c r="U10" i="6"/>
  <c r="U11" i="6"/>
  <c r="X11" i="6" s="1"/>
  <c r="U12" i="6"/>
  <c r="U13" i="6"/>
  <c r="U14" i="6"/>
  <c r="U15" i="6"/>
  <c r="U16" i="6"/>
  <c r="X16" i="6" s="1"/>
  <c r="U17" i="6"/>
  <c r="U18" i="6"/>
  <c r="U19" i="6"/>
  <c r="G10" i="6"/>
  <c r="G11" i="6"/>
  <c r="G12" i="6"/>
  <c r="G13" i="6"/>
  <c r="G14" i="6"/>
  <c r="G15" i="6"/>
  <c r="G16" i="6"/>
  <c r="G17" i="6"/>
  <c r="G18" i="6"/>
  <c r="G19" i="6"/>
  <c r="C10" i="6"/>
  <c r="C11" i="6"/>
  <c r="C12" i="6"/>
  <c r="C13" i="6"/>
  <c r="C14" i="6"/>
  <c r="C15" i="6"/>
  <c r="C16" i="6"/>
  <c r="C17" i="6"/>
  <c r="C18" i="6"/>
  <c r="C19" i="6"/>
  <c r="C9" i="6"/>
  <c r="B10" i="6"/>
  <c r="B11" i="6"/>
  <c r="B12" i="6"/>
  <c r="B13" i="6"/>
  <c r="B14" i="6"/>
  <c r="B15" i="6"/>
  <c r="B16" i="6"/>
  <c r="B17" i="6"/>
  <c r="B18" i="6"/>
  <c r="B19" i="6"/>
  <c r="C9" i="5"/>
  <c r="B9" i="5"/>
  <c r="B10" i="5"/>
  <c r="G10" i="5"/>
  <c r="J10" i="5" s="1"/>
  <c r="G11" i="5"/>
  <c r="G12" i="5"/>
  <c r="G13" i="5"/>
  <c r="G14" i="5"/>
  <c r="G15" i="5"/>
  <c r="J15" i="5" s="1"/>
  <c r="G16" i="5"/>
  <c r="G17" i="5"/>
  <c r="G18" i="5"/>
  <c r="G19" i="5"/>
  <c r="U10" i="5"/>
  <c r="U11" i="5"/>
  <c r="U12" i="5"/>
  <c r="U13" i="5"/>
  <c r="U14" i="5"/>
  <c r="U15" i="5"/>
  <c r="U16" i="5"/>
  <c r="X16" i="5" s="1"/>
  <c r="U17" i="5"/>
  <c r="U18" i="5"/>
  <c r="U19" i="5"/>
  <c r="AB10" i="5"/>
  <c r="AB11" i="5"/>
  <c r="AB12" i="5"/>
  <c r="AE12" i="5" s="1"/>
  <c r="AB13" i="5"/>
  <c r="AB14" i="5"/>
  <c r="AB15" i="5"/>
  <c r="AB16" i="5"/>
  <c r="AB17" i="5"/>
  <c r="AB18" i="5"/>
  <c r="AB19" i="5"/>
  <c r="AE19" i="5" s="1"/>
  <c r="AI10" i="5"/>
  <c r="AI11" i="5"/>
  <c r="AI12" i="5"/>
  <c r="AI13" i="5"/>
  <c r="AI14" i="5"/>
  <c r="AI15" i="5"/>
  <c r="AI16" i="5"/>
  <c r="AI17" i="5"/>
  <c r="AI18" i="5"/>
  <c r="AI19" i="5"/>
  <c r="AP11" i="5"/>
  <c r="AP12" i="5"/>
  <c r="AP13" i="5"/>
  <c r="AP14" i="5"/>
  <c r="AP15" i="5"/>
  <c r="AS15" i="5" s="1"/>
  <c r="AP16" i="5"/>
  <c r="AP17" i="5"/>
  <c r="AP18" i="5"/>
  <c r="AS18" i="5" s="1"/>
  <c r="AP19" i="5"/>
  <c r="C10" i="5"/>
  <c r="C11" i="5"/>
  <c r="C12" i="5"/>
  <c r="C13" i="5"/>
  <c r="C14" i="5"/>
  <c r="C15" i="5"/>
  <c r="C16" i="5"/>
  <c r="C17" i="5"/>
  <c r="C18" i="5"/>
  <c r="C19" i="5"/>
  <c r="B11" i="5"/>
  <c r="B12" i="5"/>
  <c r="B13" i="5"/>
  <c r="B14" i="5"/>
  <c r="B15" i="5"/>
  <c r="B16" i="5"/>
  <c r="B17" i="5"/>
  <c r="B18" i="5"/>
  <c r="B19" i="5"/>
  <c r="G10" i="4"/>
  <c r="G11" i="4"/>
  <c r="G12" i="4"/>
  <c r="G13" i="4"/>
  <c r="G14" i="4"/>
  <c r="G15" i="4"/>
  <c r="G16" i="4"/>
  <c r="G17" i="4"/>
  <c r="G18" i="4"/>
  <c r="G19" i="4"/>
  <c r="J19" i="4" s="1"/>
  <c r="N10" i="4"/>
  <c r="N11" i="4"/>
  <c r="Q11" i="4" s="1"/>
  <c r="N12" i="4"/>
  <c r="Q12" i="4" s="1"/>
  <c r="N13" i="4"/>
  <c r="N14" i="4"/>
  <c r="N15" i="4"/>
  <c r="N16" i="4"/>
  <c r="N17" i="4"/>
  <c r="N18" i="4"/>
  <c r="N19" i="4"/>
  <c r="U10" i="4"/>
  <c r="U11" i="4"/>
  <c r="U12" i="4"/>
  <c r="U13" i="4"/>
  <c r="U14" i="4"/>
  <c r="U15" i="4"/>
  <c r="U16" i="4"/>
  <c r="U17" i="4"/>
  <c r="U18" i="4"/>
  <c r="X18" i="4" s="1"/>
  <c r="U19" i="4"/>
  <c r="AB10" i="4"/>
  <c r="AB11" i="4"/>
  <c r="AB12" i="4"/>
  <c r="AB13" i="4"/>
  <c r="AB14" i="4"/>
  <c r="AB15" i="4"/>
  <c r="AB16" i="4"/>
  <c r="AB17" i="4"/>
  <c r="AB18" i="4"/>
  <c r="AB19" i="4"/>
  <c r="AI10" i="4"/>
  <c r="AI11" i="4"/>
  <c r="AI12" i="4"/>
  <c r="AI13" i="4"/>
  <c r="AL13" i="4" s="1"/>
  <c r="AI14" i="4"/>
  <c r="AL14" i="4" s="1"/>
  <c r="AI15" i="4"/>
  <c r="AI16" i="4"/>
  <c r="AI17" i="4"/>
  <c r="AI18" i="4"/>
  <c r="AI19" i="4"/>
  <c r="C19" i="4"/>
  <c r="C9" i="4"/>
  <c r="C10" i="4"/>
  <c r="C11" i="4"/>
  <c r="C12" i="4"/>
  <c r="C13" i="4"/>
  <c r="C14" i="4"/>
  <c r="C15" i="4"/>
  <c r="C16" i="4"/>
  <c r="C17" i="4"/>
  <c r="C18" i="4"/>
  <c r="B12" i="4"/>
  <c r="B10" i="4"/>
  <c r="B11" i="4"/>
  <c r="B13" i="4"/>
  <c r="B14" i="4"/>
  <c r="B15" i="4"/>
  <c r="B16" i="4"/>
  <c r="B17" i="4"/>
  <c r="B18" i="4"/>
  <c r="B19" i="4"/>
  <c r="B9" i="4"/>
  <c r="B11" i="2"/>
  <c r="B12" i="2"/>
  <c r="B13" i="2"/>
  <c r="B14" i="2"/>
  <c r="B15" i="2"/>
  <c r="B16" i="2"/>
  <c r="B17" i="2"/>
  <c r="B18" i="2"/>
  <c r="B19" i="2"/>
  <c r="C11" i="2"/>
  <c r="C12" i="2"/>
  <c r="C13" i="2"/>
  <c r="C14" i="2"/>
  <c r="C15" i="2"/>
  <c r="C16" i="2"/>
  <c r="C17" i="2"/>
  <c r="C18" i="2"/>
  <c r="C19" i="2"/>
  <c r="C10" i="2"/>
  <c r="G10" i="2"/>
  <c r="G11" i="2"/>
  <c r="G12" i="2"/>
  <c r="G13" i="2"/>
  <c r="G14" i="2"/>
  <c r="G15" i="2"/>
  <c r="G16" i="2"/>
  <c r="G17" i="2"/>
  <c r="G18" i="2"/>
  <c r="G19" i="2"/>
  <c r="N10" i="2"/>
  <c r="N11" i="2"/>
  <c r="N12" i="2"/>
  <c r="N13" i="2"/>
  <c r="N14" i="2"/>
  <c r="N15" i="2"/>
  <c r="N16" i="2"/>
  <c r="N17" i="2"/>
  <c r="N18" i="2"/>
  <c r="N19" i="2"/>
  <c r="U10" i="2"/>
  <c r="U11" i="2"/>
  <c r="U12" i="2"/>
  <c r="U13" i="2"/>
  <c r="U14" i="2"/>
  <c r="U15" i="2"/>
  <c r="U16" i="2"/>
  <c r="U17" i="2"/>
  <c r="U18" i="2"/>
  <c r="U19" i="2"/>
  <c r="AB10" i="2"/>
  <c r="AB11" i="2"/>
  <c r="AE11" i="2" s="1"/>
  <c r="AB12" i="2"/>
  <c r="AB13" i="2"/>
  <c r="AB14" i="2"/>
  <c r="AE14" i="2" s="1"/>
  <c r="AB15" i="2"/>
  <c r="AB16" i="2"/>
  <c r="AB17" i="2"/>
  <c r="AB18" i="2"/>
  <c r="AB19" i="2"/>
  <c r="AE19" i="2" s="1"/>
  <c r="AI10" i="2"/>
  <c r="AI11" i="2"/>
  <c r="AI12" i="2"/>
  <c r="AI13" i="2"/>
  <c r="AI14" i="2"/>
  <c r="AI15" i="2"/>
  <c r="AI16" i="2"/>
  <c r="AI17" i="2"/>
  <c r="AI18" i="2"/>
  <c r="AI19" i="2"/>
  <c r="AI10" i="1"/>
  <c r="AI11" i="1"/>
  <c r="AI12" i="1"/>
  <c r="AI13" i="1"/>
  <c r="AI14" i="1"/>
  <c r="AI15" i="1"/>
  <c r="AI16" i="1"/>
  <c r="AI17" i="1"/>
  <c r="AI18" i="1"/>
  <c r="AI19" i="1"/>
  <c r="AB12" i="1"/>
  <c r="AB11" i="1"/>
  <c r="AB13" i="1"/>
  <c r="AB14" i="1"/>
  <c r="AB15" i="1"/>
  <c r="AB16" i="1"/>
  <c r="AB17" i="1"/>
  <c r="AB18" i="1"/>
  <c r="AB19" i="1"/>
  <c r="U10" i="1"/>
  <c r="U11" i="1"/>
  <c r="U12" i="1"/>
  <c r="U13" i="1"/>
  <c r="U14" i="1"/>
  <c r="U15" i="1"/>
  <c r="U16" i="1"/>
  <c r="U17" i="1"/>
  <c r="U18" i="1"/>
  <c r="U19" i="1"/>
  <c r="N10" i="1"/>
  <c r="N11" i="1"/>
  <c r="N12" i="1"/>
  <c r="N13" i="1"/>
  <c r="N14" i="1"/>
  <c r="N15" i="1"/>
  <c r="N16" i="1"/>
  <c r="N17" i="1"/>
  <c r="N18" i="1"/>
  <c r="N19" i="1"/>
  <c r="G19" i="1"/>
  <c r="G14" i="1"/>
  <c r="G15" i="1"/>
  <c r="G16" i="1"/>
  <c r="G17" i="1"/>
  <c r="G18" i="1"/>
  <c r="G13" i="1"/>
  <c r="G12" i="1"/>
  <c r="G11" i="1"/>
  <c r="G10" i="1"/>
  <c r="L36" i="13" l="1"/>
  <c r="M36" i="13"/>
  <c r="AJ15" i="2"/>
  <c r="AK15" i="2" s="1"/>
  <c r="AB19" i="11" s="1"/>
  <c r="AA19" i="11"/>
  <c r="V14" i="4"/>
  <c r="W14" i="4" s="1"/>
  <c r="AJ18" i="11" s="1"/>
  <c r="AI18" i="11"/>
  <c r="V13" i="5"/>
  <c r="W13" i="5" s="1"/>
  <c r="AV17" i="11" s="1"/>
  <c r="AU17" i="11"/>
  <c r="V18" i="2"/>
  <c r="W18" i="2" s="1"/>
  <c r="X22" i="11" s="1"/>
  <c r="W22" i="11"/>
  <c r="V12" i="5"/>
  <c r="W12" i="5" s="1"/>
  <c r="AV16" i="11" s="1"/>
  <c r="AU16" i="11"/>
  <c r="AE14" i="8"/>
  <c r="BY18" i="11"/>
  <c r="J10" i="8"/>
  <c r="BS14" i="11"/>
  <c r="V16" i="9"/>
  <c r="W16" i="9" s="1"/>
  <c r="CN20" i="11" s="1"/>
  <c r="CM20" i="11"/>
  <c r="O19" i="9"/>
  <c r="P19" i="9" s="1"/>
  <c r="CL23" i="11" s="1"/>
  <c r="CK23" i="11"/>
  <c r="V16" i="1"/>
  <c r="W16" i="1" s="1"/>
  <c r="K20" i="11" s="1"/>
  <c r="J20" i="11"/>
  <c r="AJ11" i="1"/>
  <c r="AK11" i="1" s="1"/>
  <c r="O15" i="11" s="1"/>
  <c r="N15" i="11"/>
  <c r="V17" i="2"/>
  <c r="W17" i="2" s="1"/>
  <c r="X21" i="11" s="1"/>
  <c r="W21" i="11"/>
  <c r="O19" i="2"/>
  <c r="P19" i="2" s="1"/>
  <c r="V23" i="11" s="1"/>
  <c r="U23" i="11"/>
  <c r="O11" i="2"/>
  <c r="P11" i="2" s="1"/>
  <c r="V15" i="11" s="1"/>
  <c r="U15" i="11"/>
  <c r="AC18" i="4"/>
  <c r="AD18" i="4" s="1"/>
  <c r="AL22" i="11" s="1"/>
  <c r="AK22" i="11"/>
  <c r="AC10" i="4"/>
  <c r="AD10" i="4" s="1"/>
  <c r="AL14" i="11" s="1"/>
  <c r="AK14" i="11"/>
  <c r="V12" i="4"/>
  <c r="W12" i="4" s="1"/>
  <c r="AJ16" i="11" s="1"/>
  <c r="AI16" i="11"/>
  <c r="O14" i="4"/>
  <c r="P14" i="4" s="1"/>
  <c r="AH18" i="11" s="1"/>
  <c r="AG18" i="11"/>
  <c r="V11" i="5"/>
  <c r="W11" i="5" s="1"/>
  <c r="AV15" i="11" s="1"/>
  <c r="AU15" i="11"/>
  <c r="O12" i="10"/>
  <c r="P12" i="10" s="1"/>
  <c r="CZ16" i="11" s="1"/>
  <c r="CY16" i="11"/>
  <c r="X11" i="5"/>
  <c r="AL12" i="8"/>
  <c r="AL19" i="9"/>
  <c r="AC11" i="1"/>
  <c r="AD11" i="1" s="1"/>
  <c r="M15" i="11" s="1"/>
  <c r="L15" i="11"/>
  <c r="H15" i="2"/>
  <c r="I15" i="2" s="1"/>
  <c r="T19" i="11" s="1"/>
  <c r="S19" i="11"/>
  <c r="AJ10" i="4"/>
  <c r="AK10" i="4" s="1"/>
  <c r="AN14" i="11" s="1"/>
  <c r="AM14" i="11"/>
  <c r="AC12" i="4"/>
  <c r="AD12" i="4" s="1"/>
  <c r="AL16" i="11" s="1"/>
  <c r="AK16" i="11"/>
  <c r="H10" i="4"/>
  <c r="I10" i="4" s="1"/>
  <c r="AF14" i="11" s="1"/>
  <c r="AE14" i="11"/>
  <c r="AC11" i="5"/>
  <c r="AD11" i="5" s="1"/>
  <c r="AX15" i="11" s="1"/>
  <c r="AW15" i="11"/>
  <c r="AJ15" i="6"/>
  <c r="AK15" i="6" s="1"/>
  <c r="BN19" i="11" s="1"/>
  <c r="BM19" i="11"/>
  <c r="AQ19" i="8"/>
  <c r="AR19" i="8" s="1"/>
  <c r="CD23" i="11" s="1"/>
  <c r="CC23" i="11"/>
  <c r="AQ11" i="8"/>
  <c r="AR11" i="8" s="1"/>
  <c r="CD15" i="11" s="1"/>
  <c r="CC15" i="11"/>
  <c r="H19" i="8"/>
  <c r="I19" i="8" s="1"/>
  <c r="BT23" i="11" s="1"/>
  <c r="BS23" i="11"/>
  <c r="AQ13" i="9"/>
  <c r="AR13" i="9" s="1"/>
  <c r="CT17" i="11" s="1"/>
  <c r="CS17" i="11"/>
  <c r="AC19" i="1"/>
  <c r="AD19" i="1" s="1"/>
  <c r="M23" i="11" s="1"/>
  <c r="L23" i="11"/>
  <c r="H11" i="10"/>
  <c r="I11" i="10" s="1"/>
  <c r="CX15" i="11" s="1"/>
  <c r="CW15" i="11"/>
  <c r="AL13" i="10"/>
  <c r="AJ19" i="1"/>
  <c r="AK19" i="1" s="1"/>
  <c r="O23" i="11" s="1"/>
  <c r="N23" i="11"/>
  <c r="AJ13" i="2"/>
  <c r="AK13" i="2" s="1"/>
  <c r="AB17" i="11" s="1"/>
  <c r="AA17" i="11"/>
  <c r="H13" i="2"/>
  <c r="I13" i="2" s="1"/>
  <c r="T17" i="11" s="1"/>
  <c r="S17" i="11"/>
  <c r="AQ13" i="5"/>
  <c r="AR13" i="5" s="1"/>
  <c r="BB17" i="11" s="1"/>
  <c r="BA17" i="11"/>
  <c r="AC17" i="5"/>
  <c r="AD17" i="5" s="1"/>
  <c r="AX21" i="11" s="1"/>
  <c r="AW21" i="11"/>
  <c r="V19" i="5"/>
  <c r="W19" i="5" s="1"/>
  <c r="AV23" i="11" s="1"/>
  <c r="AU23" i="11"/>
  <c r="H13" i="5"/>
  <c r="I13" i="5" s="1"/>
  <c r="AR17" i="11" s="1"/>
  <c r="AQ17" i="11"/>
  <c r="H15" i="6"/>
  <c r="I15" i="6" s="1"/>
  <c r="BF19" i="11" s="1"/>
  <c r="BE19" i="11"/>
  <c r="AC11" i="6"/>
  <c r="AD11" i="6" s="1"/>
  <c r="BL15" i="11" s="1"/>
  <c r="BK15" i="11"/>
  <c r="AQ15" i="6"/>
  <c r="AR15" i="6" s="1"/>
  <c r="BP19" i="11" s="1"/>
  <c r="BO19" i="11"/>
  <c r="V15" i="8"/>
  <c r="W15" i="8" s="1"/>
  <c r="BX19" i="11" s="1"/>
  <c r="BW19" i="11"/>
  <c r="AS18" i="10"/>
  <c r="DG22" i="11"/>
  <c r="H18" i="10"/>
  <c r="I18" i="10" s="1"/>
  <c r="CX22" i="11" s="1"/>
  <c r="CW22" i="11"/>
  <c r="O12" i="5"/>
  <c r="P12" i="5" s="1"/>
  <c r="AT16" i="11" s="1"/>
  <c r="AS16" i="11"/>
  <c r="O14" i="6"/>
  <c r="P14" i="6" s="1"/>
  <c r="BH18" i="11" s="1"/>
  <c r="BG18" i="11"/>
  <c r="O16" i="8"/>
  <c r="P16" i="8" s="1"/>
  <c r="BV20" i="11" s="1"/>
  <c r="BU20" i="11"/>
  <c r="O10" i="9"/>
  <c r="P10" i="9" s="1"/>
  <c r="CL14" i="11" s="1"/>
  <c r="CK14" i="11"/>
  <c r="V15" i="1"/>
  <c r="W15" i="1" s="1"/>
  <c r="K19" i="11" s="1"/>
  <c r="J19" i="11"/>
  <c r="AC17" i="1"/>
  <c r="AD17" i="1" s="1"/>
  <c r="M21" i="11" s="1"/>
  <c r="L21" i="11"/>
  <c r="AJ18" i="1"/>
  <c r="AK18" i="1" s="1"/>
  <c r="O22" i="11" s="1"/>
  <c r="N22" i="11"/>
  <c r="AJ10" i="1"/>
  <c r="AK10" i="1" s="1"/>
  <c r="O14" i="11" s="1"/>
  <c r="N14" i="11"/>
  <c r="AJ12" i="2"/>
  <c r="AK12" i="2" s="1"/>
  <c r="AB16" i="11" s="1"/>
  <c r="AA16" i="11"/>
  <c r="AC14" i="2"/>
  <c r="AD14" i="2" s="1"/>
  <c r="Z18" i="11" s="1"/>
  <c r="Y18" i="11"/>
  <c r="V16" i="2"/>
  <c r="W16" i="2" s="1"/>
  <c r="X20" i="11" s="1"/>
  <c r="W20" i="11"/>
  <c r="O18" i="2"/>
  <c r="P18" i="2" s="1"/>
  <c r="V22" i="11" s="1"/>
  <c r="U22" i="11"/>
  <c r="O10" i="2"/>
  <c r="P10" i="2" s="1"/>
  <c r="V14" i="11" s="1"/>
  <c r="U14" i="11"/>
  <c r="H12" i="2"/>
  <c r="I12" i="2" s="1"/>
  <c r="T16" i="11" s="1"/>
  <c r="S16" i="11"/>
  <c r="AJ15" i="4"/>
  <c r="AK15" i="4" s="1"/>
  <c r="AN19" i="11" s="1"/>
  <c r="AM19" i="11"/>
  <c r="AC17" i="4"/>
  <c r="AD17" i="4" s="1"/>
  <c r="AL21" i="11" s="1"/>
  <c r="AK21" i="11"/>
  <c r="V19" i="4"/>
  <c r="W19" i="4" s="1"/>
  <c r="AJ23" i="11" s="1"/>
  <c r="AI23" i="11"/>
  <c r="V11" i="4"/>
  <c r="W11" i="4" s="1"/>
  <c r="AJ15" i="11" s="1"/>
  <c r="AI15" i="11"/>
  <c r="O13" i="4"/>
  <c r="P13" i="4" s="1"/>
  <c r="AH17" i="11" s="1"/>
  <c r="AG17" i="11"/>
  <c r="H15" i="4"/>
  <c r="I15" i="4" s="1"/>
  <c r="AF19" i="11" s="1"/>
  <c r="AE19" i="11"/>
  <c r="AQ12" i="5"/>
  <c r="AR12" i="5" s="1"/>
  <c r="BB16" i="11" s="1"/>
  <c r="BA16" i="11"/>
  <c r="AJ14" i="5"/>
  <c r="AK14" i="5" s="1"/>
  <c r="AZ18" i="11" s="1"/>
  <c r="AY18" i="11"/>
  <c r="AC16" i="5"/>
  <c r="AD16" i="5" s="1"/>
  <c r="AX20" i="11" s="1"/>
  <c r="AW20" i="11"/>
  <c r="V18" i="5"/>
  <c r="W18" i="5" s="1"/>
  <c r="AV22" i="11" s="1"/>
  <c r="AU22" i="11"/>
  <c r="V10" i="5"/>
  <c r="W10" i="5" s="1"/>
  <c r="AV14" i="11" s="1"/>
  <c r="AU14" i="11"/>
  <c r="H12" i="5"/>
  <c r="I12" i="5" s="1"/>
  <c r="AR16" i="11" s="1"/>
  <c r="AQ16" i="11"/>
  <c r="H14" i="6"/>
  <c r="I14" i="6" s="1"/>
  <c r="BF18" i="11" s="1"/>
  <c r="BE18" i="11"/>
  <c r="V16" i="6"/>
  <c r="W16" i="6" s="1"/>
  <c r="BJ20" i="11" s="1"/>
  <c r="BI20" i="11"/>
  <c r="AC18" i="6"/>
  <c r="AD18" i="6" s="1"/>
  <c r="BL22" i="11" s="1"/>
  <c r="BK22" i="11"/>
  <c r="AC10" i="6"/>
  <c r="AD10" i="6" s="1"/>
  <c r="BL14" i="11" s="1"/>
  <c r="BK14" i="11"/>
  <c r="AJ12" i="6"/>
  <c r="AK12" i="6" s="1"/>
  <c r="BN16" i="11" s="1"/>
  <c r="BM16" i="11"/>
  <c r="AQ14" i="6"/>
  <c r="AR14" i="6" s="1"/>
  <c r="BP18" i="11" s="1"/>
  <c r="BO18" i="11"/>
  <c r="AS16" i="8"/>
  <c r="CC20" i="11"/>
  <c r="AJ18" i="8"/>
  <c r="AK18" i="8" s="1"/>
  <c r="CB22" i="11" s="1"/>
  <c r="CA22" i="11"/>
  <c r="AC12" i="8"/>
  <c r="AD12" i="8" s="1"/>
  <c r="BZ16" i="11" s="1"/>
  <c r="BY16" i="11"/>
  <c r="X14" i="8"/>
  <c r="BW18" i="11"/>
  <c r="H16" i="8"/>
  <c r="I16" i="8" s="1"/>
  <c r="BT20" i="11" s="1"/>
  <c r="BS20" i="11"/>
  <c r="AJ16" i="9"/>
  <c r="AK16" i="9" s="1"/>
  <c r="CR20" i="11" s="1"/>
  <c r="CQ20" i="11"/>
  <c r="AQ18" i="9"/>
  <c r="AR18" i="9" s="1"/>
  <c r="CT22" i="11" s="1"/>
  <c r="CS22" i="11"/>
  <c r="AS10" i="9"/>
  <c r="CS14" i="11"/>
  <c r="AC12" i="9"/>
  <c r="AD12" i="9" s="1"/>
  <c r="CP16" i="11" s="1"/>
  <c r="CO16" i="11"/>
  <c r="V14" i="9"/>
  <c r="W14" i="9" s="1"/>
  <c r="CN18" i="11" s="1"/>
  <c r="CM18" i="11"/>
  <c r="H16" i="9"/>
  <c r="I16" i="9" s="1"/>
  <c r="CJ20" i="11" s="1"/>
  <c r="CI20" i="11"/>
  <c r="AQ17" i="10"/>
  <c r="AR17" i="10" s="1"/>
  <c r="DH21" i="11" s="1"/>
  <c r="DG21" i="11"/>
  <c r="AL19" i="10"/>
  <c r="DE23" i="11"/>
  <c r="AJ11" i="10"/>
  <c r="AK11" i="10" s="1"/>
  <c r="DF15" i="11" s="1"/>
  <c r="DE15" i="11"/>
  <c r="AC13" i="10"/>
  <c r="AD13" i="10" s="1"/>
  <c r="DD17" i="11" s="1"/>
  <c r="DC17" i="11"/>
  <c r="V15" i="10"/>
  <c r="W15" i="10" s="1"/>
  <c r="DB19" i="11" s="1"/>
  <c r="DA19" i="11"/>
  <c r="H17" i="10"/>
  <c r="I17" i="10" s="1"/>
  <c r="CX21" i="11" s="1"/>
  <c r="CW21" i="11"/>
  <c r="O19" i="5"/>
  <c r="P19" i="5" s="1"/>
  <c r="AT23" i="11" s="1"/>
  <c r="AS23" i="11"/>
  <c r="O11" i="5"/>
  <c r="P11" i="5" s="1"/>
  <c r="AT15" i="11" s="1"/>
  <c r="AS15" i="11"/>
  <c r="O13" i="6"/>
  <c r="P13" i="6" s="1"/>
  <c r="BH17" i="11" s="1"/>
  <c r="BG17" i="11"/>
  <c r="O15" i="8"/>
  <c r="P15" i="8" s="1"/>
  <c r="BV19" i="11" s="1"/>
  <c r="BU19" i="11"/>
  <c r="O17" i="9"/>
  <c r="P17" i="9" s="1"/>
  <c r="CL21" i="11" s="1"/>
  <c r="CK21" i="11"/>
  <c r="O19" i="10"/>
  <c r="P19" i="10" s="1"/>
  <c r="CZ23" i="11" s="1"/>
  <c r="CY23" i="11"/>
  <c r="O11" i="10"/>
  <c r="P11" i="10" s="1"/>
  <c r="CZ15" i="11" s="1"/>
  <c r="CY15" i="11"/>
  <c r="X18" i="8"/>
  <c r="AS10" i="8"/>
  <c r="AE15" i="9"/>
  <c r="AS10" i="10"/>
  <c r="V10" i="1"/>
  <c r="W10" i="1" s="1"/>
  <c r="K14" i="11" s="1"/>
  <c r="J14" i="11"/>
  <c r="O13" i="2"/>
  <c r="P13" i="2" s="1"/>
  <c r="V17" i="11" s="1"/>
  <c r="U17" i="11"/>
  <c r="O16" i="4"/>
  <c r="P16" i="4" s="1"/>
  <c r="AH20" i="11" s="1"/>
  <c r="AG20" i="11"/>
  <c r="AC19" i="5"/>
  <c r="AD19" i="5" s="1"/>
  <c r="AX23" i="11" s="1"/>
  <c r="AW23" i="11"/>
  <c r="H19" i="9"/>
  <c r="I19" i="9" s="1"/>
  <c r="CJ23" i="11" s="1"/>
  <c r="CI23" i="11"/>
  <c r="V17" i="1"/>
  <c r="W17" i="1" s="1"/>
  <c r="K21" i="11" s="1"/>
  <c r="J21" i="11"/>
  <c r="H14" i="2"/>
  <c r="I14" i="2" s="1"/>
  <c r="T18" i="11" s="1"/>
  <c r="S18" i="11"/>
  <c r="V13" i="4"/>
  <c r="W13" i="4" s="1"/>
  <c r="AJ17" i="11" s="1"/>
  <c r="AI17" i="11"/>
  <c r="AC18" i="5"/>
  <c r="AD18" i="5" s="1"/>
  <c r="AX22" i="11" s="1"/>
  <c r="AW22" i="11"/>
  <c r="H16" i="6"/>
  <c r="I16" i="6" s="1"/>
  <c r="BF20" i="11" s="1"/>
  <c r="BE20" i="11"/>
  <c r="V10" i="6"/>
  <c r="W10" i="6" s="1"/>
  <c r="BJ14" i="11" s="1"/>
  <c r="BI14" i="11"/>
  <c r="AC12" i="6"/>
  <c r="AD12" i="6" s="1"/>
  <c r="BL16" i="11" s="1"/>
  <c r="BK16" i="11"/>
  <c r="AJ14" i="6"/>
  <c r="AK14" i="6" s="1"/>
  <c r="BN18" i="11" s="1"/>
  <c r="BM18" i="11"/>
  <c r="AQ16" i="6"/>
  <c r="AR16" i="6" s="1"/>
  <c r="BP20" i="11" s="1"/>
  <c r="BO20" i="11"/>
  <c r="H18" i="9"/>
  <c r="I18" i="9" s="1"/>
  <c r="CJ22" i="11" s="1"/>
  <c r="CI22" i="11"/>
  <c r="V17" i="10"/>
  <c r="W17" i="10" s="1"/>
  <c r="DB21" i="11" s="1"/>
  <c r="DA21" i="11"/>
  <c r="AL13" i="8"/>
  <c r="AJ16" i="4"/>
  <c r="AK16" i="4" s="1"/>
  <c r="AN20" i="11" s="1"/>
  <c r="AM20" i="11"/>
  <c r="H16" i="4"/>
  <c r="I16" i="4" s="1"/>
  <c r="AF20" i="11" s="1"/>
  <c r="AE20" i="11"/>
  <c r="AJ15" i="5"/>
  <c r="AK15" i="5" s="1"/>
  <c r="AZ19" i="11" s="1"/>
  <c r="AY19" i="11"/>
  <c r="V17" i="6"/>
  <c r="W17" i="6" s="1"/>
  <c r="BJ21" i="11" s="1"/>
  <c r="BI21" i="11"/>
  <c r="AC19" i="6"/>
  <c r="AD19" i="6" s="1"/>
  <c r="BL23" i="11" s="1"/>
  <c r="BK23" i="11"/>
  <c r="AJ13" i="6"/>
  <c r="AK13" i="6" s="1"/>
  <c r="BN17" i="11" s="1"/>
  <c r="BM17" i="11"/>
  <c r="AS17" i="8"/>
  <c r="CC21" i="11"/>
  <c r="AL19" i="8"/>
  <c r="CA23" i="11"/>
  <c r="AJ11" i="8"/>
  <c r="AK11" i="8" s="1"/>
  <c r="CB15" i="11" s="1"/>
  <c r="CA15" i="11"/>
  <c r="AC13" i="8"/>
  <c r="AD13" i="8" s="1"/>
  <c r="BZ17" i="11" s="1"/>
  <c r="BY17" i="11"/>
  <c r="H17" i="8"/>
  <c r="I17" i="8" s="1"/>
  <c r="BT21" i="11" s="1"/>
  <c r="BS21" i="11"/>
  <c r="AJ17" i="9"/>
  <c r="AK17" i="9" s="1"/>
  <c r="CR21" i="11" s="1"/>
  <c r="CQ21" i="11"/>
  <c r="AS19" i="9"/>
  <c r="CS23" i="11"/>
  <c r="AS11" i="9"/>
  <c r="CS15" i="11"/>
  <c r="AC13" i="9"/>
  <c r="AD13" i="9" s="1"/>
  <c r="CP17" i="11" s="1"/>
  <c r="CO17" i="11"/>
  <c r="V15" i="9"/>
  <c r="W15" i="9" s="1"/>
  <c r="CN19" i="11" s="1"/>
  <c r="CM19" i="11"/>
  <c r="H17" i="9"/>
  <c r="I17" i="9" s="1"/>
  <c r="CJ21" i="11" s="1"/>
  <c r="CI21" i="11"/>
  <c r="AJ12" i="10"/>
  <c r="AK12" i="10" s="1"/>
  <c r="DF16" i="11" s="1"/>
  <c r="DE16" i="11"/>
  <c r="AC14" i="10"/>
  <c r="AD14" i="10" s="1"/>
  <c r="DD18" i="11" s="1"/>
  <c r="DC18" i="11"/>
  <c r="V16" i="10"/>
  <c r="W16" i="10" s="1"/>
  <c r="DB20" i="11" s="1"/>
  <c r="DA20" i="11"/>
  <c r="H10" i="10"/>
  <c r="I10" i="10" s="1"/>
  <c r="CX14" i="11" s="1"/>
  <c r="CW14" i="11"/>
  <c r="O18" i="9"/>
  <c r="P18" i="9" s="1"/>
  <c r="CL22" i="11" s="1"/>
  <c r="CK22" i="11"/>
  <c r="V14" i="1"/>
  <c r="W14" i="1" s="1"/>
  <c r="K18" i="11" s="1"/>
  <c r="J18" i="11"/>
  <c r="AC16" i="1"/>
  <c r="AD16" i="1" s="1"/>
  <c r="M20" i="11" s="1"/>
  <c r="L20" i="11"/>
  <c r="AJ17" i="1"/>
  <c r="AK17" i="1" s="1"/>
  <c r="O21" i="11" s="1"/>
  <c r="N21" i="11"/>
  <c r="AJ19" i="2"/>
  <c r="AK19" i="2" s="1"/>
  <c r="AB23" i="11" s="1"/>
  <c r="AA23" i="11"/>
  <c r="AJ11" i="2"/>
  <c r="AK11" i="2" s="1"/>
  <c r="AB15" i="11" s="1"/>
  <c r="AA15" i="11"/>
  <c r="AC13" i="2"/>
  <c r="AD13" i="2" s="1"/>
  <c r="Z17" i="11" s="1"/>
  <c r="Y17" i="11"/>
  <c r="V15" i="2"/>
  <c r="W15" i="2" s="1"/>
  <c r="X19" i="11" s="1"/>
  <c r="W19" i="11"/>
  <c r="O17" i="2"/>
  <c r="P17" i="2" s="1"/>
  <c r="V21" i="11" s="1"/>
  <c r="U21" i="11"/>
  <c r="H19" i="2"/>
  <c r="I19" i="2" s="1"/>
  <c r="T23" i="11" s="1"/>
  <c r="S23" i="11"/>
  <c r="H11" i="2"/>
  <c r="I11" i="2" s="1"/>
  <c r="T15" i="11" s="1"/>
  <c r="S15" i="11"/>
  <c r="AJ14" i="4"/>
  <c r="AK14" i="4" s="1"/>
  <c r="AN18" i="11" s="1"/>
  <c r="AM18" i="11"/>
  <c r="AC16" i="4"/>
  <c r="AD16" i="4" s="1"/>
  <c r="AL20" i="11" s="1"/>
  <c r="AK20" i="11"/>
  <c r="V18" i="4"/>
  <c r="W18" i="4" s="1"/>
  <c r="AJ22" i="11" s="1"/>
  <c r="AI22" i="11"/>
  <c r="V10" i="4"/>
  <c r="W10" i="4" s="1"/>
  <c r="AJ14" i="11" s="1"/>
  <c r="AI14" i="11"/>
  <c r="O12" i="4"/>
  <c r="P12" i="4" s="1"/>
  <c r="AH16" i="11" s="1"/>
  <c r="AG16" i="11"/>
  <c r="H14" i="4"/>
  <c r="I14" i="4" s="1"/>
  <c r="AF18" i="11" s="1"/>
  <c r="AE18" i="11"/>
  <c r="AQ19" i="5"/>
  <c r="AR19" i="5" s="1"/>
  <c r="BB23" i="11" s="1"/>
  <c r="BA23" i="11"/>
  <c r="AQ11" i="5"/>
  <c r="AR11" i="5" s="1"/>
  <c r="BB15" i="11" s="1"/>
  <c r="BA15" i="11"/>
  <c r="AJ13" i="5"/>
  <c r="AK13" i="5" s="1"/>
  <c r="AZ17" i="11" s="1"/>
  <c r="AY17" i="11"/>
  <c r="AC15" i="5"/>
  <c r="AD15" i="5" s="1"/>
  <c r="AX19" i="11" s="1"/>
  <c r="AW19" i="11"/>
  <c r="V17" i="5"/>
  <c r="W17" i="5" s="1"/>
  <c r="AV21" i="11" s="1"/>
  <c r="AU21" i="11"/>
  <c r="H19" i="5"/>
  <c r="I19" i="5" s="1"/>
  <c r="AR23" i="11" s="1"/>
  <c r="AQ23" i="11"/>
  <c r="H11" i="5"/>
  <c r="I11" i="5" s="1"/>
  <c r="AR15" i="11" s="1"/>
  <c r="AQ15" i="11"/>
  <c r="H13" i="6"/>
  <c r="I13" i="6" s="1"/>
  <c r="BF17" i="11" s="1"/>
  <c r="BE17" i="11"/>
  <c r="V15" i="6"/>
  <c r="W15" i="6" s="1"/>
  <c r="BJ19" i="11" s="1"/>
  <c r="BI19" i="11"/>
  <c r="AC17" i="6"/>
  <c r="AD17" i="6" s="1"/>
  <c r="BL21" i="11" s="1"/>
  <c r="BK21" i="11"/>
  <c r="AJ19" i="6"/>
  <c r="AK19" i="6" s="1"/>
  <c r="BN23" i="11" s="1"/>
  <c r="BM23" i="11"/>
  <c r="AJ11" i="6"/>
  <c r="AK11" i="6" s="1"/>
  <c r="BN15" i="11" s="1"/>
  <c r="BM15" i="11"/>
  <c r="AQ13" i="6"/>
  <c r="AR13" i="6" s="1"/>
  <c r="BP17" i="11" s="1"/>
  <c r="BO17" i="11"/>
  <c r="AQ15" i="8"/>
  <c r="AR15" i="8" s="1"/>
  <c r="CD19" i="11" s="1"/>
  <c r="CC19" i="11"/>
  <c r="AJ17" i="8"/>
  <c r="AK17" i="8" s="1"/>
  <c r="CB21" i="11" s="1"/>
  <c r="CA21" i="11"/>
  <c r="AC19" i="8"/>
  <c r="AD19" i="8" s="1"/>
  <c r="BZ23" i="11" s="1"/>
  <c r="BY23" i="11"/>
  <c r="AC11" i="8"/>
  <c r="AD11" i="8" s="1"/>
  <c r="BZ15" i="11" s="1"/>
  <c r="BY15" i="11"/>
  <c r="V13" i="8"/>
  <c r="W13" i="8" s="1"/>
  <c r="BX17" i="11" s="1"/>
  <c r="BW17" i="11"/>
  <c r="H15" i="8"/>
  <c r="I15" i="8" s="1"/>
  <c r="BT19" i="11" s="1"/>
  <c r="BS19" i="11"/>
  <c r="AJ15" i="9"/>
  <c r="AK15" i="9" s="1"/>
  <c r="CR19" i="11" s="1"/>
  <c r="CQ19" i="11"/>
  <c r="AQ17" i="9"/>
  <c r="AR17" i="9" s="1"/>
  <c r="CT21" i="11" s="1"/>
  <c r="CS21" i="11"/>
  <c r="AC19" i="9"/>
  <c r="AD19" i="9" s="1"/>
  <c r="CP23" i="11" s="1"/>
  <c r="CO23" i="11"/>
  <c r="AC11" i="9"/>
  <c r="AD11" i="9" s="1"/>
  <c r="CP15" i="11" s="1"/>
  <c r="CO15" i="11"/>
  <c r="V13" i="9"/>
  <c r="W13" i="9" s="1"/>
  <c r="CN17" i="11" s="1"/>
  <c r="CM17" i="11"/>
  <c r="H15" i="9"/>
  <c r="I15" i="9" s="1"/>
  <c r="CJ19" i="11" s="1"/>
  <c r="CI19" i="11"/>
  <c r="AS16" i="10"/>
  <c r="DG20" i="11"/>
  <c r="AJ18" i="10"/>
  <c r="AK18" i="10" s="1"/>
  <c r="DF22" i="11" s="1"/>
  <c r="DE22" i="11"/>
  <c r="AJ10" i="10"/>
  <c r="AK10" i="10" s="1"/>
  <c r="DF14" i="11" s="1"/>
  <c r="DE14" i="11"/>
  <c r="AC12" i="10"/>
  <c r="AD12" i="10" s="1"/>
  <c r="DD16" i="11" s="1"/>
  <c r="DC16" i="11"/>
  <c r="V14" i="10"/>
  <c r="W14" i="10" s="1"/>
  <c r="DB18" i="11" s="1"/>
  <c r="DA18" i="11"/>
  <c r="H16" i="10"/>
  <c r="I16" i="10" s="1"/>
  <c r="CX20" i="11" s="1"/>
  <c r="CW20" i="11"/>
  <c r="O18" i="5"/>
  <c r="P18" i="5" s="1"/>
  <c r="AT22" i="11" s="1"/>
  <c r="AS22" i="11"/>
  <c r="O10" i="5"/>
  <c r="P10" i="5" s="1"/>
  <c r="AT14" i="11" s="1"/>
  <c r="AS14" i="11"/>
  <c r="Q12" i="6"/>
  <c r="BG16" i="11"/>
  <c r="O14" i="8"/>
  <c r="P14" i="8" s="1"/>
  <c r="BV18" i="11" s="1"/>
  <c r="BU18" i="11"/>
  <c r="O16" i="9"/>
  <c r="P16" i="9" s="1"/>
  <c r="CL20" i="11" s="1"/>
  <c r="CK20" i="11"/>
  <c r="O18" i="10"/>
  <c r="P18" i="10" s="1"/>
  <c r="CZ22" i="11" s="1"/>
  <c r="CY22" i="11"/>
  <c r="O10" i="10"/>
  <c r="P10" i="10" s="1"/>
  <c r="CZ14" i="11" s="1"/>
  <c r="CY14" i="11"/>
  <c r="X13" i="4"/>
  <c r="J12" i="5"/>
  <c r="AE17" i="5"/>
  <c r="J13" i="6"/>
  <c r="AE19" i="6"/>
  <c r="X15" i="8"/>
  <c r="AS15" i="8"/>
  <c r="J18" i="10"/>
  <c r="X14" i="10"/>
  <c r="AS15" i="10"/>
  <c r="V18" i="1"/>
  <c r="W18" i="1" s="1"/>
  <c r="K22" i="11" s="1"/>
  <c r="J22" i="11"/>
  <c r="AJ18" i="4"/>
  <c r="AK18" i="4" s="1"/>
  <c r="AN22" i="11" s="1"/>
  <c r="AM22" i="11"/>
  <c r="H18" i="4"/>
  <c r="I18" i="4" s="1"/>
  <c r="AF22" i="11" s="1"/>
  <c r="AE22" i="11"/>
  <c r="AQ15" i="5"/>
  <c r="AR15" i="5" s="1"/>
  <c r="BB19" i="11" s="1"/>
  <c r="BA19" i="11"/>
  <c r="H17" i="6"/>
  <c r="I17" i="6" s="1"/>
  <c r="BF21" i="11" s="1"/>
  <c r="BE21" i="11"/>
  <c r="V17" i="8"/>
  <c r="W17" i="8" s="1"/>
  <c r="BX21" i="11" s="1"/>
  <c r="BW21" i="11"/>
  <c r="V17" i="9"/>
  <c r="W17" i="9" s="1"/>
  <c r="CN21" i="11" s="1"/>
  <c r="CM21" i="11"/>
  <c r="AC12" i="1"/>
  <c r="AD12" i="1" s="1"/>
  <c r="M16" i="11" s="1"/>
  <c r="L16" i="11"/>
  <c r="V10" i="2"/>
  <c r="W10" i="2" s="1"/>
  <c r="X14" i="11" s="1"/>
  <c r="W14" i="11"/>
  <c r="H17" i="4"/>
  <c r="I17" i="4" s="1"/>
  <c r="AF21" i="11" s="1"/>
  <c r="AE21" i="11"/>
  <c r="V16" i="8"/>
  <c r="W16" i="8" s="1"/>
  <c r="BX20" i="11" s="1"/>
  <c r="BW20" i="11"/>
  <c r="AJ10" i="9"/>
  <c r="AK10" i="9" s="1"/>
  <c r="CR14" i="11" s="1"/>
  <c r="CQ14" i="11"/>
  <c r="O13" i="5"/>
  <c r="P13" i="5" s="1"/>
  <c r="AT17" i="11" s="1"/>
  <c r="AS17" i="11"/>
  <c r="H10" i="2"/>
  <c r="I10" i="2" s="1"/>
  <c r="T14" i="11" s="1"/>
  <c r="S14" i="11"/>
  <c r="AJ13" i="4"/>
  <c r="AK13" i="4" s="1"/>
  <c r="AN17" i="11" s="1"/>
  <c r="AM17" i="11"/>
  <c r="AC15" i="4"/>
  <c r="AD15" i="4" s="1"/>
  <c r="AL19" i="11" s="1"/>
  <c r="AK19" i="11"/>
  <c r="V17" i="4"/>
  <c r="W17" i="4" s="1"/>
  <c r="AJ21" i="11" s="1"/>
  <c r="AI21" i="11"/>
  <c r="O19" i="4"/>
  <c r="P19" i="4" s="1"/>
  <c r="AH23" i="11" s="1"/>
  <c r="AG23" i="11"/>
  <c r="O11" i="4"/>
  <c r="P11" i="4" s="1"/>
  <c r="AH15" i="11" s="1"/>
  <c r="AG15" i="11"/>
  <c r="H13" i="4"/>
  <c r="I13" i="4" s="1"/>
  <c r="AF17" i="11" s="1"/>
  <c r="AE17" i="11"/>
  <c r="AQ18" i="5"/>
  <c r="AR18" i="5" s="1"/>
  <c r="BB22" i="11" s="1"/>
  <c r="BA22" i="11"/>
  <c r="AQ10" i="5"/>
  <c r="AR10" i="5" s="1"/>
  <c r="BB14" i="11" s="1"/>
  <c r="BA14" i="11"/>
  <c r="AJ12" i="5"/>
  <c r="AK12" i="5" s="1"/>
  <c r="AZ16" i="11" s="1"/>
  <c r="AY16" i="11"/>
  <c r="AC14" i="5"/>
  <c r="AD14" i="5" s="1"/>
  <c r="AX18" i="11" s="1"/>
  <c r="AW18" i="11"/>
  <c r="V16" i="5"/>
  <c r="W16" i="5" s="1"/>
  <c r="AV20" i="11" s="1"/>
  <c r="AU20" i="11"/>
  <c r="H18" i="5"/>
  <c r="I18" i="5" s="1"/>
  <c r="AR22" i="11" s="1"/>
  <c r="AQ22" i="11"/>
  <c r="H10" i="5"/>
  <c r="I10" i="5" s="1"/>
  <c r="AR14" i="11" s="1"/>
  <c r="AQ14" i="11"/>
  <c r="H12" i="6"/>
  <c r="I12" i="6" s="1"/>
  <c r="BF16" i="11" s="1"/>
  <c r="BE16" i="11"/>
  <c r="V14" i="6"/>
  <c r="W14" i="6" s="1"/>
  <c r="BJ18" i="11" s="1"/>
  <c r="BI18" i="11"/>
  <c r="AC16" i="6"/>
  <c r="AD16" i="6" s="1"/>
  <c r="BL20" i="11" s="1"/>
  <c r="BK20" i="11"/>
  <c r="AJ18" i="6"/>
  <c r="AK18" i="6" s="1"/>
  <c r="BN22" i="11" s="1"/>
  <c r="BM22" i="11"/>
  <c r="AJ10" i="6"/>
  <c r="AK10" i="6" s="1"/>
  <c r="BN14" i="11" s="1"/>
  <c r="BM14" i="11"/>
  <c r="AQ12" i="6"/>
  <c r="AR12" i="6" s="1"/>
  <c r="BP16" i="11" s="1"/>
  <c r="BO16" i="11"/>
  <c r="H10" i="8"/>
  <c r="I10" i="8" s="1"/>
  <c r="BT14" i="11" s="1"/>
  <c r="AS14" i="8"/>
  <c r="CC18" i="11"/>
  <c r="AJ16" i="8"/>
  <c r="AK16" i="8" s="1"/>
  <c r="CB20" i="11" s="1"/>
  <c r="CA20" i="11"/>
  <c r="AE18" i="8"/>
  <c r="BY22" i="11"/>
  <c r="AE10" i="8"/>
  <c r="BY14" i="11"/>
  <c r="V12" i="8"/>
  <c r="W12" i="8" s="1"/>
  <c r="BX16" i="11" s="1"/>
  <c r="BW16" i="11"/>
  <c r="H14" i="8"/>
  <c r="I14" i="8" s="1"/>
  <c r="BT18" i="11" s="1"/>
  <c r="BS18" i="11"/>
  <c r="L30" i="13" s="1"/>
  <c r="AJ14" i="9"/>
  <c r="AK14" i="9" s="1"/>
  <c r="CR18" i="11" s="1"/>
  <c r="CQ18" i="11"/>
  <c r="AQ16" i="9"/>
  <c r="AR16" i="9" s="1"/>
  <c r="CT20" i="11" s="1"/>
  <c r="CS20" i="11"/>
  <c r="AC18" i="9"/>
  <c r="AD18" i="9" s="1"/>
  <c r="CP22" i="11" s="1"/>
  <c r="CO22" i="11"/>
  <c r="AC10" i="9"/>
  <c r="AD10" i="9" s="1"/>
  <c r="CP14" i="11" s="1"/>
  <c r="CO14" i="11"/>
  <c r="V12" i="9"/>
  <c r="W12" i="9" s="1"/>
  <c r="CN16" i="11" s="1"/>
  <c r="CM16" i="11"/>
  <c r="H14" i="9"/>
  <c r="I14" i="9" s="1"/>
  <c r="CJ18" i="11" s="1"/>
  <c r="CI18" i="11"/>
  <c r="AL17" i="10"/>
  <c r="DE21" i="11"/>
  <c r="AC19" i="10"/>
  <c r="AD19" i="10" s="1"/>
  <c r="DD23" i="11" s="1"/>
  <c r="DC23" i="11"/>
  <c r="AC11" i="10"/>
  <c r="AD11" i="10" s="1"/>
  <c r="DD15" i="11" s="1"/>
  <c r="DC15" i="11"/>
  <c r="V13" i="10"/>
  <c r="W13" i="10" s="1"/>
  <c r="DB17" i="11" s="1"/>
  <c r="DA17" i="11"/>
  <c r="H15" i="10"/>
  <c r="I15" i="10" s="1"/>
  <c r="CX19" i="11" s="1"/>
  <c r="CW19" i="11"/>
  <c r="O17" i="5"/>
  <c r="P17" i="5" s="1"/>
  <c r="AT21" i="11" s="1"/>
  <c r="AS21" i="11"/>
  <c r="O19" i="6"/>
  <c r="P19" i="6" s="1"/>
  <c r="BH23" i="11" s="1"/>
  <c r="BG23" i="11"/>
  <c r="O11" i="6"/>
  <c r="P11" i="6" s="1"/>
  <c r="BH15" i="11" s="1"/>
  <c r="BG15" i="11"/>
  <c r="O13" i="8"/>
  <c r="P13" i="8" s="1"/>
  <c r="BV17" i="11" s="1"/>
  <c r="BU17" i="11"/>
  <c r="O15" i="9"/>
  <c r="P15" i="9" s="1"/>
  <c r="CL19" i="11" s="1"/>
  <c r="CK19" i="11"/>
  <c r="O17" i="10"/>
  <c r="P17" i="10" s="1"/>
  <c r="CZ21" i="11" s="1"/>
  <c r="CY21" i="11"/>
  <c r="AE10" i="1"/>
  <c r="L14" i="11"/>
  <c r="J18" i="4"/>
  <c r="X12" i="4"/>
  <c r="Q17" i="5"/>
  <c r="J12" i="6"/>
  <c r="AE19" i="8"/>
  <c r="AE12" i="9"/>
  <c r="AE19" i="10"/>
  <c r="AS12" i="10"/>
  <c r="H14" i="5"/>
  <c r="I14" i="5" s="1"/>
  <c r="AR18" i="11" s="1"/>
  <c r="AQ18" i="11"/>
  <c r="V18" i="6"/>
  <c r="W18" i="6" s="1"/>
  <c r="BJ22" i="11" s="1"/>
  <c r="BI22" i="11"/>
  <c r="AL18" i="9"/>
  <c r="CQ22" i="11"/>
  <c r="AQ12" i="9"/>
  <c r="AR12" i="9" s="1"/>
  <c r="CT16" i="11" s="1"/>
  <c r="CS16" i="11"/>
  <c r="AC14" i="9"/>
  <c r="AD14" i="9" s="1"/>
  <c r="CP18" i="11" s="1"/>
  <c r="CO18" i="11"/>
  <c r="H10" i="9"/>
  <c r="I10" i="9" s="1"/>
  <c r="CJ14" i="11" s="1"/>
  <c r="CI14" i="11"/>
  <c r="AS19" i="10"/>
  <c r="DG23" i="11"/>
  <c r="AS11" i="10"/>
  <c r="DG15" i="11"/>
  <c r="AC15" i="10"/>
  <c r="AD15" i="10" s="1"/>
  <c r="DD19" i="11" s="1"/>
  <c r="DC19" i="11"/>
  <c r="O17" i="8"/>
  <c r="P17" i="8" s="1"/>
  <c r="BV21" i="11" s="1"/>
  <c r="BU21" i="11"/>
  <c r="O13" i="10"/>
  <c r="P13" i="10" s="1"/>
  <c r="CZ17" i="11" s="1"/>
  <c r="CY17" i="11"/>
  <c r="AC18" i="1"/>
  <c r="AD18" i="1" s="1"/>
  <c r="M22" i="11" s="1"/>
  <c r="L22" i="11"/>
  <c r="V13" i="1"/>
  <c r="W13" i="1" s="1"/>
  <c r="K17" i="11" s="1"/>
  <c r="J17" i="11"/>
  <c r="AJ16" i="1"/>
  <c r="AK16" i="1" s="1"/>
  <c r="O20" i="11" s="1"/>
  <c r="N20" i="11"/>
  <c r="AJ10" i="2"/>
  <c r="AK10" i="2" s="1"/>
  <c r="AB14" i="11" s="1"/>
  <c r="AA14" i="11"/>
  <c r="O16" i="2"/>
  <c r="P16" i="2" s="1"/>
  <c r="V20" i="11" s="1"/>
  <c r="U20" i="11"/>
  <c r="V12" i="1"/>
  <c r="W12" i="1" s="1"/>
  <c r="K16" i="11" s="1"/>
  <c r="J16" i="11"/>
  <c r="AC14" i="1"/>
  <c r="AD14" i="1" s="1"/>
  <c r="M18" i="11" s="1"/>
  <c r="L18" i="11"/>
  <c r="AJ15" i="1"/>
  <c r="AK15" i="1" s="1"/>
  <c r="O19" i="11" s="1"/>
  <c r="N19" i="11"/>
  <c r="AJ17" i="2"/>
  <c r="AK17" i="2" s="1"/>
  <c r="AB21" i="11" s="1"/>
  <c r="AA21" i="11"/>
  <c r="AC19" i="2"/>
  <c r="AD19" i="2" s="1"/>
  <c r="Z23" i="11" s="1"/>
  <c r="Y23" i="11"/>
  <c r="AC11" i="2"/>
  <c r="AD11" i="2" s="1"/>
  <c r="Z15" i="11" s="1"/>
  <c r="Y15" i="11"/>
  <c r="V13" i="2"/>
  <c r="W13" i="2" s="1"/>
  <c r="X17" i="11" s="1"/>
  <c r="W17" i="11"/>
  <c r="O15" i="2"/>
  <c r="P15" i="2" s="1"/>
  <c r="V19" i="11" s="1"/>
  <c r="U19" i="11"/>
  <c r="H17" i="2"/>
  <c r="I17" i="2" s="1"/>
  <c r="T21" i="11" s="1"/>
  <c r="S21" i="11"/>
  <c r="AJ12" i="4"/>
  <c r="AK12" i="4" s="1"/>
  <c r="AN16" i="11" s="1"/>
  <c r="AM16" i="11"/>
  <c r="AC14" i="4"/>
  <c r="AD14" i="4" s="1"/>
  <c r="AL18" i="11" s="1"/>
  <c r="AK18" i="11"/>
  <c r="V16" i="4"/>
  <c r="W16" i="4" s="1"/>
  <c r="AJ20" i="11" s="1"/>
  <c r="AI20" i="11"/>
  <c r="O18" i="4"/>
  <c r="P18" i="4" s="1"/>
  <c r="AH22" i="11" s="1"/>
  <c r="AG22" i="11"/>
  <c r="O10" i="4"/>
  <c r="P10" i="4" s="1"/>
  <c r="AH14" i="11" s="1"/>
  <c r="AG14" i="11"/>
  <c r="H12" i="4"/>
  <c r="I12" i="4" s="1"/>
  <c r="AF16" i="11" s="1"/>
  <c r="AE16" i="11"/>
  <c r="AQ17" i="5"/>
  <c r="AR17" i="5" s="1"/>
  <c r="BB21" i="11" s="1"/>
  <c r="BA21" i="11"/>
  <c r="AJ19" i="5"/>
  <c r="AK19" i="5" s="1"/>
  <c r="AZ23" i="11" s="1"/>
  <c r="AY23" i="11"/>
  <c r="AJ11" i="5"/>
  <c r="AK11" i="5" s="1"/>
  <c r="AZ15" i="11" s="1"/>
  <c r="AY15" i="11"/>
  <c r="AC13" i="5"/>
  <c r="AD13" i="5" s="1"/>
  <c r="AX17" i="11" s="1"/>
  <c r="AW17" i="11"/>
  <c r="V15" i="5"/>
  <c r="W15" i="5" s="1"/>
  <c r="AV19" i="11" s="1"/>
  <c r="AU19" i="11"/>
  <c r="H17" i="5"/>
  <c r="I17" i="5" s="1"/>
  <c r="AR21" i="11" s="1"/>
  <c r="AQ21" i="11"/>
  <c r="H19" i="6"/>
  <c r="I19" i="6" s="1"/>
  <c r="BF23" i="11" s="1"/>
  <c r="BE23" i="11"/>
  <c r="H11" i="6"/>
  <c r="I11" i="6" s="1"/>
  <c r="BF15" i="11" s="1"/>
  <c r="BE15" i="11"/>
  <c r="V13" i="6"/>
  <c r="W13" i="6" s="1"/>
  <c r="BJ17" i="11" s="1"/>
  <c r="BI17" i="11"/>
  <c r="AC15" i="6"/>
  <c r="AD15" i="6" s="1"/>
  <c r="BL19" i="11" s="1"/>
  <c r="BK19" i="11"/>
  <c r="AJ17" i="6"/>
  <c r="AK17" i="6" s="1"/>
  <c r="BN21" i="11" s="1"/>
  <c r="BM21" i="11"/>
  <c r="AQ19" i="6"/>
  <c r="AR19" i="6" s="1"/>
  <c r="BP23" i="11" s="1"/>
  <c r="BO23" i="11"/>
  <c r="AQ11" i="6"/>
  <c r="AR11" i="6" s="1"/>
  <c r="BP15" i="11" s="1"/>
  <c r="BO15" i="11"/>
  <c r="AS13" i="8"/>
  <c r="CC17" i="11"/>
  <c r="AJ15" i="8"/>
  <c r="AK15" i="8" s="1"/>
  <c r="CB19" i="11" s="1"/>
  <c r="CA19" i="11"/>
  <c r="AE17" i="8"/>
  <c r="BY21" i="11"/>
  <c r="V19" i="8"/>
  <c r="W19" i="8" s="1"/>
  <c r="BX23" i="11" s="1"/>
  <c r="BW23" i="11"/>
  <c r="X11" i="8"/>
  <c r="BW15" i="11"/>
  <c r="H13" i="8"/>
  <c r="I13" i="8" s="1"/>
  <c r="BT17" i="11" s="1"/>
  <c r="BS17" i="11"/>
  <c r="AJ13" i="9"/>
  <c r="AK13" i="9" s="1"/>
  <c r="CR17" i="11" s="1"/>
  <c r="CQ17" i="11"/>
  <c r="AS15" i="9"/>
  <c r="CS19" i="11"/>
  <c r="AC17" i="9"/>
  <c r="AD17" i="9" s="1"/>
  <c r="CP21" i="11" s="1"/>
  <c r="CO21" i="11"/>
  <c r="V19" i="9"/>
  <c r="W19" i="9" s="1"/>
  <c r="CN23" i="11" s="1"/>
  <c r="CM23" i="11"/>
  <c r="V11" i="9"/>
  <c r="W11" i="9" s="1"/>
  <c r="CN15" i="11" s="1"/>
  <c r="CM15" i="11"/>
  <c r="H13" i="9"/>
  <c r="I13" i="9" s="1"/>
  <c r="CJ17" i="11" s="1"/>
  <c r="CI17" i="11"/>
  <c r="AS14" i="10"/>
  <c r="DG18" i="11"/>
  <c r="AJ16" i="10"/>
  <c r="AK16" i="10" s="1"/>
  <c r="DF20" i="11" s="1"/>
  <c r="DE20" i="11"/>
  <c r="AC18" i="10"/>
  <c r="AD18" i="10" s="1"/>
  <c r="DD22" i="11" s="1"/>
  <c r="DC22" i="11"/>
  <c r="AC10" i="10"/>
  <c r="AD10" i="10" s="1"/>
  <c r="DD14" i="11" s="1"/>
  <c r="DC14" i="11"/>
  <c r="X12" i="10"/>
  <c r="DA16" i="11"/>
  <c r="J14" i="10"/>
  <c r="CW18" i="11"/>
  <c r="O16" i="5"/>
  <c r="P16" i="5" s="1"/>
  <c r="AT20" i="11" s="1"/>
  <c r="AS20" i="11"/>
  <c r="O18" i="6"/>
  <c r="P18" i="6" s="1"/>
  <c r="BH22" i="11" s="1"/>
  <c r="BG22" i="11"/>
  <c r="O10" i="6"/>
  <c r="P10" i="6" s="1"/>
  <c r="BH14" i="11" s="1"/>
  <c r="BG14" i="11"/>
  <c r="O12" i="8"/>
  <c r="P12" i="8" s="1"/>
  <c r="BV16" i="11" s="1"/>
  <c r="BU16" i="11"/>
  <c r="O14" i="9"/>
  <c r="P14" i="9" s="1"/>
  <c r="CL18" i="11" s="1"/>
  <c r="CK18" i="11"/>
  <c r="O16" i="10"/>
  <c r="P16" i="10" s="1"/>
  <c r="CZ20" i="11" s="1"/>
  <c r="CY20" i="11"/>
  <c r="Q18" i="2"/>
  <c r="J16" i="4"/>
  <c r="AE10" i="4"/>
  <c r="AE11" i="5"/>
  <c r="Q10" i="5"/>
  <c r="AE12" i="8"/>
  <c r="J17" i="9"/>
  <c r="AL16" i="9"/>
  <c r="AJ13" i="1"/>
  <c r="AK13" i="1" s="1"/>
  <c r="O17" i="11" s="1"/>
  <c r="N17" i="11"/>
  <c r="AC17" i="2"/>
  <c r="AD17" i="2" s="1"/>
  <c r="Z21" i="11" s="1"/>
  <c r="Y21" i="11"/>
  <c r="V19" i="2"/>
  <c r="W19" i="2" s="1"/>
  <c r="X23" i="11" s="1"/>
  <c r="W23" i="11"/>
  <c r="V11" i="2"/>
  <c r="W11" i="2" s="1"/>
  <c r="X15" i="11" s="1"/>
  <c r="W15" i="11"/>
  <c r="AJ17" i="5"/>
  <c r="AK17" i="5" s="1"/>
  <c r="AZ21" i="11" s="1"/>
  <c r="AY21" i="11"/>
  <c r="H15" i="5"/>
  <c r="I15" i="5" s="1"/>
  <c r="AR19" i="11" s="1"/>
  <c r="AQ19" i="11"/>
  <c r="V19" i="6"/>
  <c r="W19" i="6" s="1"/>
  <c r="BJ23" i="11" s="1"/>
  <c r="BI23" i="11"/>
  <c r="V11" i="6"/>
  <c r="W11" i="6" s="1"/>
  <c r="BJ15" i="11" s="1"/>
  <c r="BI15" i="11"/>
  <c r="AC13" i="6"/>
  <c r="AD13" i="6" s="1"/>
  <c r="BL17" i="11" s="1"/>
  <c r="BK17" i="11"/>
  <c r="AQ17" i="6"/>
  <c r="AR17" i="6" s="1"/>
  <c r="BP21" i="11" s="1"/>
  <c r="BO21" i="11"/>
  <c r="AC15" i="8"/>
  <c r="AD15" i="8" s="1"/>
  <c r="BZ19" i="11" s="1"/>
  <c r="BY19" i="11"/>
  <c r="H11" i="8"/>
  <c r="I11" i="8" s="1"/>
  <c r="BT15" i="11" s="1"/>
  <c r="BS15" i="11"/>
  <c r="AJ11" i="9"/>
  <c r="AK11" i="9" s="1"/>
  <c r="CR15" i="11" s="1"/>
  <c r="CQ15" i="11"/>
  <c r="H11" i="9"/>
  <c r="I11" i="9" s="1"/>
  <c r="CJ15" i="11" s="1"/>
  <c r="CI15" i="11"/>
  <c r="AL12" i="1"/>
  <c r="N16" i="11"/>
  <c r="AJ14" i="2"/>
  <c r="AK14" i="2" s="1"/>
  <c r="AB18" i="11" s="1"/>
  <c r="AA18" i="11"/>
  <c r="AC16" i="2"/>
  <c r="AD16" i="2" s="1"/>
  <c r="Z20" i="11" s="1"/>
  <c r="Y20" i="11"/>
  <c r="O12" i="2"/>
  <c r="P12" i="2" s="1"/>
  <c r="V16" i="11" s="1"/>
  <c r="U16" i="11"/>
  <c r="AJ17" i="4"/>
  <c r="AK17" i="4" s="1"/>
  <c r="AN21" i="11" s="1"/>
  <c r="AM21" i="11"/>
  <c r="AC19" i="4"/>
  <c r="AD19" i="4" s="1"/>
  <c r="AL23" i="11" s="1"/>
  <c r="AK23" i="11"/>
  <c r="AC11" i="4"/>
  <c r="AD11" i="4" s="1"/>
  <c r="AL15" i="11" s="1"/>
  <c r="AK15" i="11"/>
  <c r="O15" i="4"/>
  <c r="P15" i="4" s="1"/>
  <c r="AH19" i="11" s="1"/>
  <c r="AG19" i="11"/>
  <c r="AQ14" i="5"/>
  <c r="AR14" i="5" s="1"/>
  <c r="BB18" i="11" s="1"/>
  <c r="BA18" i="11"/>
  <c r="AJ16" i="5"/>
  <c r="AK16" i="5" s="1"/>
  <c r="AZ20" i="11" s="1"/>
  <c r="AY20" i="11"/>
  <c r="AC10" i="5"/>
  <c r="AD10" i="5" s="1"/>
  <c r="AX14" i="11" s="1"/>
  <c r="AW14" i="11"/>
  <c r="AS18" i="8"/>
  <c r="CC22" i="11"/>
  <c r="H18" i="8"/>
  <c r="I18" i="8" s="1"/>
  <c r="BT22" i="11" s="1"/>
  <c r="BS22" i="11"/>
  <c r="H19" i="10"/>
  <c r="I19" i="10" s="1"/>
  <c r="CX23" i="11" s="1"/>
  <c r="CW23" i="11"/>
  <c r="O15" i="6"/>
  <c r="P15" i="6" s="1"/>
  <c r="BH19" i="11" s="1"/>
  <c r="BG19" i="11"/>
  <c r="O11" i="9"/>
  <c r="P11" i="9" s="1"/>
  <c r="CL15" i="11" s="1"/>
  <c r="CK15" i="11"/>
  <c r="X19" i="6"/>
  <c r="AC15" i="2"/>
  <c r="AD15" i="2" s="1"/>
  <c r="Z19" i="11" s="1"/>
  <c r="Y19" i="11"/>
  <c r="AC15" i="1"/>
  <c r="AD15" i="1" s="1"/>
  <c r="M19" i="11" s="1"/>
  <c r="L19" i="11"/>
  <c r="AJ18" i="2"/>
  <c r="AK18" i="2" s="1"/>
  <c r="AB22" i="11" s="1"/>
  <c r="AA22" i="11"/>
  <c r="AC12" i="2"/>
  <c r="AD12" i="2" s="1"/>
  <c r="Z16" i="11" s="1"/>
  <c r="Y16" i="11"/>
  <c r="V14" i="2"/>
  <c r="W14" i="2" s="1"/>
  <c r="X18" i="11" s="1"/>
  <c r="W18" i="11"/>
  <c r="H18" i="2"/>
  <c r="I18" i="2" s="1"/>
  <c r="T22" i="11" s="1"/>
  <c r="S22" i="11"/>
  <c r="V19" i="1"/>
  <c r="W19" i="1" s="1"/>
  <c r="K23" i="11" s="1"/>
  <c r="J23" i="11"/>
  <c r="V11" i="1"/>
  <c r="W11" i="1" s="1"/>
  <c r="K15" i="11" s="1"/>
  <c r="J15" i="11"/>
  <c r="AC13" i="1"/>
  <c r="AD13" i="1" s="1"/>
  <c r="M17" i="11" s="1"/>
  <c r="L17" i="11"/>
  <c r="AL14" i="1"/>
  <c r="N18" i="11"/>
  <c r="AJ16" i="2"/>
  <c r="AK16" i="2" s="1"/>
  <c r="AB20" i="11" s="1"/>
  <c r="AA20" i="11"/>
  <c r="AC18" i="2"/>
  <c r="AD18" i="2" s="1"/>
  <c r="Z22" i="11" s="1"/>
  <c r="Y22" i="11"/>
  <c r="AC10" i="2"/>
  <c r="AD10" i="2" s="1"/>
  <c r="Z14" i="11" s="1"/>
  <c r="Y14" i="11"/>
  <c r="V12" i="2"/>
  <c r="W12" i="2" s="1"/>
  <c r="X16" i="11" s="1"/>
  <c r="W16" i="11"/>
  <c r="O14" i="2"/>
  <c r="P14" i="2" s="1"/>
  <c r="V18" i="11" s="1"/>
  <c r="U18" i="11"/>
  <c r="H16" i="2"/>
  <c r="I16" i="2" s="1"/>
  <c r="T20" i="11" s="1"/>
  <c r="S20" i="11"/>
  <c r="AJ19" i="4"/>
  <c r="AK19" i="4" s="1"/>
  <c r="AN23" i="11" s="1"/>
  <c r="AM23" i="11"/>
  <c r="AJ11" i="4"/>
  <c r="AK11" i="4" s="1"/>
  <c r="AN15" i="11" s="1"/>
  <c r="AM15" i="11"/>
  <c r="AC13" i="4"/>
  <c r="AD13" i="4" s="1"/>
  <c r="AL17" i="11" s="1"/>
  <c r="AK17" i="11"/>
  <c r="V15" i="4"/>
  <c r="W15" i="4" s="1"/>
  <c r="AJ19" i="11" s="1"/>
  <c r="AI19" i="11"/>
  <c r="O17" i="4"/>
  <c r="P17" i="4" s="1"/>
  <c r="AH21" i="11" s="1"/>
  <c r="AG21" i="11"/>
  <c r="H19" i="4"/>
  <c r="I19" i="4" s="1"/>
  <c r="AF23" i="11" s="1"/>
  <c r="AE23" i="11"/>
  <c r="H11" i="4"/>
  <c r="I11" i="4" s="1"/>
  <c r="AF15" i="11" s="1"/>
  <c r="AE15" i="11"/>
  <c r="AQ16" i="5"/>
  <c r="AR16" i="5" s="1"/>
  <c r="BB20" i="11" s="1"/>
  <c r="BA20" i="11"/>
  <c r="AJ18" i="5"/>
  <c r="AK18" i="5" s="1"/>
  <c r="AZ22" i="11" s="1"/>
  <c r="AY22" i="11"/>
  <c r="AJ10" i="5"/>
  <c r="AK10" i="5" s="1"/>
  <c r="AZ14" i="11" s="1"/>
  <c r="AY14" i="11"/>
  <c r="AC12" i="5"/>
  <c r="AD12" i="5" s="1"/>
  <c r="AX16" i="11" s="1"/>
  <c r="AW16" i="11"/>
  <c r="V14" i="5"/>
  <c r="W14" i="5" s="1"/>
  <c r="AV18" i="11" s="1"/>
  <c r="AU18" i="11"/>
  <c r="H16" i="5"/>
  <c r="I16" i="5" s="1"/>
  <c r="AR20" i="11" s="1"/>
  <c r="AQ20" i="11"/>
  <c r="H18" i="6"/>
  <c r="I18" i="6" s="1"/>
  <c r="BF22" i="11" s="1"/>
  <c r="BE22" i="11"/>
  <c r="H10" i="6"/>
  <c r="I10" i="6" s="1"/>
  <c r="BF14" i="11" s="1"/>
  <c r="BE14" i="11"/>
  <c r="V12" i="6"/>
  <c r="W12" i="6" s="1"/>
  <c r="BJ16" i="11" s="1"/>
  <c r="BI16" i="11"/>
  <c r="AC14" i="6"/>
  <c r="AD14" i="6" s="1"/>
  <c r="BL18" i="11" s="1"/>
  <c r="BK18" i="11"/>
  <c r="AJ16" i="6"/>
  <c r="AK16" i="6" s="1"/>
  <c r="BN20" i="11" s="1"/>
  <c r="BM20" i="11"/>
  <c r="AQ18" i="6"/>
  <c r="AR18" i="6" s="1"/>
  <c r="BP22" i="11" s="1"/>
  <c r="BO22" i="11"/>
  <c r="AQ10" i="6"/>
  <c r="AR10" i="6" s="1"/>
  <c r="BP14" i="11" s="1"/>
  <c r="BO14" i="11"/>
  <c r="AQ12" i="8"/>
  <c r="AR12" i="8" s="1"/>
  <c r="CD16" i="11" s="1"/>
  <c r="CC16" i="11"/>
  <c r="AL14" i="8"/>
  <c r="CA18" i="11"/>
  <c r="AE16" i="8"/>
  <c r="BY20" i="11"/>
  <c r="V10" i="8"/>
  <c r="W10" i="8" s="1"/>
  <c r="BX14" i="11" s="1"/>
  <c r="BW14" i="11"/>
  <c r="H12" i="8"/>
  <c r="I12" i="8" s="1"/>
  <c r="BT16" i="11" s="1"/>
  <c r="BS16" i="11"/>
  <c r="AJ12" i="9"/>
  <c r="AK12" i="9" s="1"/>
  <c r="CR16" i="11" s="1"/>
  <c r="CQ16" i="11"/>
  <c r="AQ14" i="9"/>
  <c r="AR14" i="9" s="1"/>
  <c r="CT18" i="11" s="1"/>
  <c r="CS18" i="11"/>
  <c r="L46" i="13" s="1"/>
  <c r="AC16" i="9"/>
  <c r="AD16" i="9" s="1"/>
  <c r="CP20" i="11" s="1"/>
  <c r="CO20" i="11"/>
  <c r="V18" i="9"/>
  <c r="W18" i="9" s="1"/>
  <c r="CN22" i="11" s="1"/>
  <c r="CM22" i="11"/>
  <c r="V10" i="9"/>
  <c r="W10" i="9" s="1"/>
  <c r="CN14" i="11" s="1"/>
  <c r="CM14" i="11"/>
  <c r="H12" i="9"/>
  <c r="I12" i="9" s="1"/>
  <c r="CJ16" i="11" s="1"/>
  <c r="CI16" i="11"/>
  <c r="AS13" i="10"/>
  <c r="DG17" i="11"/>
  <c r="AJ15" i="10"/>
  <c r="AK15" i="10" s="1"/>
  <c r="DF19" i="11" s="1"/>
  <c r="DE19" i="11"/>
  <c r="AE17" i="10"/>
  <c r="DC21" i="11"/>
  <c r="X19" i="10"/>
  <c r="DA23" i="11"/>
  <c r="V11" i="10"/>
  <c r="W11" i="10" s="1"/>
  <c r="DB15" i="11" s="1"/>
  <c r="DA15" i="11"/>
  <c r="H13" i="10"/>
  <c r="I13" i="10" s="1"/>
  <c r="CX17" i="11" s="1"/>
  <c r="CW17" i="11"/>
  <c r="O15" i="5"/>
  <c r="P15" i="5" s="1"/>
  <c r="AT19" i="11" s="1"/>
  <c r="AS19" i="11"/>
  <c r="O17" i="6"/>
  <c r="P17" i="6" s="1"/>
  <c r="BH21" i="11" s="1"/>
  <c r="BG21" i="11"/>
  <c r="O19" i="8"/>
  <c r="P19" i="8" s="1"/>
  <c r="BV23" i="11" s="1"/>
  <c r="BU23" i="11"/>
  <c r="O11" i="8"/>
  <c r="P11" i="8" s="1"/>
  <c r="BV15" i="11" s="1"/>
  <c r="BU15" i="11"/>
  <c r="O13" i="9"/>
  <c r="P13" i="9" s="1"/>
  <c r="CL17" i="11" s="1"/>
  <c r="CK17" i="11"/>
  <c r="O15" i="10"/>
  <c r="P15" i="10" s="1"/>
  <c r="CZ19" i="11" s="1"/>
  <c r="CY19" i="11"/>
  <c r="Q15" i="2"/>
  <c r="J11" i="4"/>
  <c r="AE15" i="4"/>
  <c r="X19" i="5"/>
  <c r="AL17" i="5"/>
  <c r="AE11" i="6"/>
  <c r="AE11" i="8"/>
  <c r="J16" i="9"/>
  <c r="AL15" i="9"/>
  <c r="Q15" i="10"/>
  <c r="AE11" i="10"/>
  <c r="AL14" i="10"/>
  <c r="DE18" i="11"/>
  <c r="AC16" i="10"/>
  <c r="AD16" i="10" s="1"/>
  <c r="DD20" i="11" s="1"/>
  <c r="DC20" i="11"/>
  <c r="V18" i="10"/>
  <c r="W18" i="10" s="1"/>
  <c r="DB22" i="11" s="1"/>
  <c r="DA22" i="11"/>
  <c r="V10" i="10"/>
  <c r="W10" i="10" s="1"/>
  <c r="DB14" i="11" s="1"/>
  <c r="DA14" i="11"/>
  <c r="H12" i="10"/>
  <c r="I12" i="10" s="1"/>
  <c r="CX16" i="11" s="1"/>
  <c r="CW16" i="11"/>
  <c r="O14" i="5"/>
  <c r="P14" i="5" s="1"/>
  <c r="AT18" i="11" s="1"/>
  <c r="AS18" i="11"/>
  <c r="O16" i="6"/>
  <c r="P16" i="6" s="1"/>
  <c r="BH20" i="11" s="1"/>
  <c r="BG20" i="11"/>
  <c r="O18" i="8"/>
  <c r="P18" i="8" s="1"/>
  <c r="BV22" i="11" s="1"/>
  <c r="BU22" i="11"/>
  <c r="O10" i="8"/>
  <c r="P10" i="8" s="1"/>
  <c r="BV14" i="11" s="1"/>
  <c r="BU14" i="11"/>
  <c r="O12" i="9"/>
  <c r="P12" i="9" s="1"/>
  <c r="CL16" i="11" s="1"/>
  <c r="CK16" i="11"/>
  <c r="O14" i="10"/>
  <c r="P14" i="10" s="1"/>
  <c r="CZ18" i="11" s="1"/>
  <c r="CY18" i="11"/>
  <c r="X10" i="2"/>
  <c r="Q19" i="4"/>
  <c r="AE12" i="4"/>
  <c r="X18" i="5"/>
  <c r="AL14" i="5"/>
  <c r="Q15" i="6"/>
  <c r="AS10" i="6"/>
  <c r="AL18" i="8"/>
  <c r="X10" i="9"/>
  <c r="AS18" i="9"/>
  <c r="Q14" i="10"/>
  <c r="AL18" i="10"/>
  <c r="J15" i="1"/>
  <c r="F19" i="11"/>
  <c r="O14" i="1"/>
  <c r="H18" i="11"/>
  <c r="H10" i="1"/>
  <c r="F14" i="11"/>
  <c r="H14" i="1"/>
  <c r="F18" i="11"/>
  <c r="O13" i="1"/>
  <c r="H17" i="11"/>
  <c r="H19" i="1"/>
  <c r="F23" i="11"/>
  <c r="O12" i="1"/>
  <c r="H16" i="11"/>
  <c r="O15" i="1"/>
  <c r="H19" i="11"/>
  <c r="H13" i="1"/>
  <c r="F17" i="11"/>
  <c r="O18" i="1"/>
  <c r="H22" i="11"/>
  <c r="O10" i="1"/>
  <c r="H14" i="11"/>
  <c r="H18" i="1"/>
  <c r="F22" i="11"/>
  <c r="O17" i="1"/>
  <c r="H21" i="11"/>
  <c r="H16" i="1"/>
  <c r="F20" i="11"/>
  <c r="H11" i="1"/>
  <c r="F15" i="11"/>
  <c r="H12" i="1"/>
  <c r="F16" i="11"/>
  <c r="O19" i="1"/>
  <c r="H23" i="11"/>
  <c r="O11" i="1"/>
  <c r="H15" i="11"/>
  <c r="H17" i="1"/>
  <c r="F21" i="11"/>
  <c r="O16" i="1"/>
  <c r="H20" i="11"/>
  <c r="AL16" i="2"/>
  <c r="J15" i="2"/>
  <c r="Q17" i="2"/>
  <c r="X19" i="2"/>
  <c r="X11" i="2"/>
  <c r="AE13" i="2"/>
  <c r="AL15" i="2"/>
  <c r="AE14" i="4"/>
  <c r="J14" i="5"/>
  <c r="Q16" i="5"/>
  <c r="AL16" i="5"/>
  <c r="AS17" i="5"/>
  <c r="J10" i="6"/>
  <c r="X18" i="6"/>
  <c r="AE10" i="5"/>
  <c r="AL16" i="6"/>
  <c r="AS19" i="6"/>
  <c r="AS11" i="6"/>
  <c r="J13" i="8"/>
  <c r="Q15" i="8"/>
  <c r="X17" i="8"/>
  <c r="Q18" i="9"/>
  <c r="X12" i="9"/>
  <c r="AE18" i="10"/>
  <c r="AL10" i="10"/>
  <c r="X12" i="2"/>
  <c r="AL17" i="6"/>
  <c r="J14" i="8"/>
  <c r="Q19" i="9"/>
  <c r="Q11" i="9"/>
  <c r="H14" i="10"/>
  <c r="I14" i="10" s="1"/>
  <c r="CX18" i="11" s="1"/>
  <c r="V11" i="8"/>
  <c r="W11" i="8" s="1"/>
  <c r="BX15" i="11" s="1"/>
  <c r="J14" i="2"/>
  <c r="Q16" i="2"/>
  <c r="X18" i="2"/>
  <c r="AE10" i="2"/>
  <c r="AE12" i="2"/>
  <c r="AL14" i="2"/>
  <c r="J17" i="4"/>
  <c r="Q18" i="4"/>
  <c r="X19" i="4"/>
  <c r="X11" i="4"/>
  <c r="AE13" i="4"/>
  <c r="AL12" i="4"/>
  <c r="J13" i="5"/>
  <c r="Q15" i="5"/>
  <c r="X17" i="5"/>
  <c r="AE18" i="5"/>
  <c r="AL15" i="5"/>
  <c r="AS16" i="5"/>
  <c r="J19" i="6"/>
  <c r="J11" i="6"/>
  <c r="Q14" i="6"/>
  <c r="X17" i="6"/>
  <c r="AE10" i="6"/>
  <c r="AE12" i="6"/>
  <c r="AL15" i="6"/>
  <c r="AS18" i="6"/>
  <c r="J12" i="8"/>
  <c r="Q14" i="8"/>
  <c r="X16" i="8"/>
  <c r="AL11" i="8"/>
  <c r="J15" i="9"/>
  <c r="Q17" i="9"/>
  <c r="X19" i="9"/>
  <c r="X11" i="9"/>
  <c r="AE13" i="9"/>
  <c r="AL14" i="9"/>
  <c r="AS16" i="9"/>
  <c r="J19" i="10"/>
  <c r="J11" i="10"/>
  <c r="Q13" i="10"/>
  <c r="X15" i="10"/>
  <c r="AL11" i="10"/>
  <c r="J13" i="2"/>
  <c r="AL13" i="2"/>
  <c r="AL11" i="4"/>
  <c r="AL14" i="6"/>
  <c r="J11" i="8"/>
  <c r="Q13" i="8"/>
  <c r="Q16" i="9"/>
  <c r="V12" i="10"/>
  <c r="W12" i="10" s="1"/>
  <c r="DB16" i="11" s="1"/>
  <c r="O12" i="6"/>
  <c r="P12" i="6" s="1"/>
  <c r="BH16" i="11" s="1"/>
  <c r="J12" i="2"/>
  <c r="Q14" i="2"/>
  <c r="X16" i="2"/>
  <c r="AE18" i="2"/>
  <c r="AL10" i="2"/>
  <c r="AL12" i="2"/>
  <c r="J15" i="4"/>
  <c r="Q16" i="4"/>
  <c r="X17" i="4"/>
  <c r="AE19" i="4"/>
  <c r="AE11" i="4"/>
  <c r="J19" i="5"/>
  <c r="J11" i="5"/>
  <c r="Q13" i="5"/>
  <c r="X15" i="5"/>
  <c r="AE16" i="5"/>
  <c r="AL18" i="4"/>
  <c r="AL13" i="5"/>
  <c r="AS14" i="5"/>
  <c r="J17" i="6"/>
  <c r="Q10" i="6"/>
  <c r="X15" i="6"/>
  <c r="AE18" i="6"/>
  <c r="AL10" i="5"/>
  <c r="AL13" i="6"/>
  <c r="AS16" i="6"/>
  <c r="J18" i="8"/>
  <c r="Q10" i="8"/>
  <c r="Q12" i="8"/>
  <c r="AL17" i="8"/>
  <c r="AS19" i="8"/>
  <c r="AS11" i="8"/>
  <c r="J13" i="9"/>
  <c r="Q15" i="9"/>
  <c r="X17" i="9"/>
  <c r="AE19" i="9"/>
  <c r="AE11" i="9"/>
  <c r="AL12" i="9"/>
  <c r="AS14" i="9"/>
  <c r="J17" i="10"/>
  <c r="Q19" i="10"/>
  <c r="Q11" i="10"/>
  <c r="X13" i="10"/>
  <c r="AE15" i="10"/>
  <c r="AL19" i="4"/>
  <c r="J19" i="2"/>
  <c r="J11" i="2"/>
  <c r="Q13" i="2"/>
  <c r="X15" i="2"/>
  <c r="AE17" i="2"/>
  <c r="AL19" i="2"/>
  <c r="AL11" i="2"/>
  <c r="J14" i="4"/>
  <c r="Q15" i="4"/>
  <c r="X16" i="4"/>
  <c r="AE18" i="4"/>
  <c r="AL17" i="4"/>
  <c r="J18" i="5"/>
  <c r="Q10" i="4"/>
  <c r="Q12" i="5"/>
  <c r="X14" i="5"/>
  <c r="AE15" i="5"/>
  <c r="AL10" i="4"/>
  <c r="AL12" i="5"/>
  <c r="AS13" i="5"/>
  <c r="J16" i="6"/>
  <c r="Q19" i="6"/>
  <c r="Q11" i="6"/>
  <c r="X14" i="6"/>
  <c r="AE17" i="6"/>
  <c r="AL10" i="6"/>
  <c r="AL12" i="6"/>
  <c r="AS15" i="6"/>
  <c r="J17" i="8"/>
  <c r="Q19" i="8"/>
  <c r="Q11" i="8"/>
  <c r="X13" i="8"/>
  <c r="AE15" i="8"/>
  <c r="AL16" i="8"/>
  <c r="J10" i="9"/>
  <c r="J12" i="9"/>
  <c r="Q14" i="9"/>
  <c r="X16" i="9"/>
  <c r="AE18" i="9"/>
  <c r="AL10" i="9"/>
  <c r="AL11" i="9"/>
  <c r="AS13" i="9"/>
  <c r="J16" i="10"/>
  <c r="Q18" i="10"/>
  <c r="X10" i="10"/>
  <c r="AE14" i="10"/>
  <c r="AL16" i="10"/>
  <c r="J16" i="2"/>
  <c r="Q16" i="8"/>
  <c r="Q17" i="4"/>
  <c r="J19" i="8"/>
  <c r="AJ10" i="8"/>
  <c r="AK10" i="8" s="1"/>
  <c r="CB14" i="11" s="1"/>
  <c r="AL10" i="8"/>
  <c r="J18" i="2"/>
  <c r="Q10" i="2"/>
  <c r="Q12" i="2"/>
  <c r="X14" i="2"/>
  <c r="AE16" i="2"/>
  <c r="AL18" i="2"/>
  <c r="J10" i="2"/>
  <c r="J13" i="4"/>
  <c r="Q14" i="4"/>
  <c r="X15" i="4"/>
  <c r="AE17" i="4"/>
  <c r="AL16" i="4"/>
  <c r="J17" i="5"/>
  <c r="Q19" i="5"/>
  <c r="Q11" i="5"/>
  <c r="X13" i="5"/>
  <c r="AE14" i="5"/>
  <c r="AL19" i="5"/>
  <c r="AL11" i="5"/>
  <c r="AS12" i="5"/>
  <c r="J15" i="6"/>
  <c r="Q18" i="6"/>
  <c r="X10" i="5"/>
  <c r="X13" i="6"/>
  <c r="AE16" i="6"/>
  <c r="AL19" i="6"/>
  <c r="AL11" i="6"/>
  <c r="AS14" i="6"/>
  <c r="J16" i="8"/>
  <c r="Q18" i="8"/>
  <c r="X10" i="8"/>
  <c r="X12" i="8"/>
  <c r="AL15" i="8"/>
  <c r="J19" i="9"/>
  <c r="J11" i="9"/>
  <c r="Q13" i="9"/>
  <c r="X15" i="9"/>
  <c r="AE17" i="9"/>
  <c r="AS12" i="9"/>
  <c r="J15" i="10"/>
  <c r="Q17" i="10"/>
  <c r="X11" i="10"/>
  <c r="AE13" i="10"/>
  <c r="AL15" i="10"/>
  <c r="AS17" i="10"/>
  <c r="X17" i="2"/>
  <c r="J18" i="6"/>
  <c r="Q13" i="6"/>
  <c r="J14" i="9"/>
  <c r="AE10" i="9"/>
  <c r="AL13" i="9"/>
  <c r="Q10" i="10"/>
  <c r="J17" i="2"/>
  <c r="Q19" i="2"/>
  <c r="Q11" i="2"/>
  <c r="X13" i="2"/>
  <c r="AE15" i="2"/>
  <c r="AL17" i="2"/>
  <c r="J10" i="4"/>
  <c r="J12" i="4"/>
  <c r="Q13" i="4"/>
  <c r="X14" i="4"/>
  <c r="AE16" i="4"/>
  <c r="AL15" i="4"/>
  <c r="J16" i="5"/>
  <c r="Q18" i="5"/>
  <c r="X10" i="4"/>
  <c r="X12" i="5"/>
  <c r="AE13" i="5"/>
  <c r="AL18" i="5"/>
  <c r="AS19" i="5"/>
  <c r="AS11" i="5"/>
  <c r="J14" i="6"/>
  <c r="Q17" i="6"/>
  <c r="X10" i="6"/>
  <c r="X12" i="6"/>
  <c r="AE15" i="6"/>
  <c r="AL18" i="6"/>
  <c r="AS10" i="5"/>
  <c r="AS13" i="6"/>
  <c r="J15" i="8"/>
  <c r="Q17" i="8"/>
  <c r="X19" i="8"/>
  <c r="AE13" i="8"/>
  <c r="J18" i="9"/>
  <c r="Q10" i="9"/>
  <c r="Q12" i="9"/>
  <c r="X14" i="9"/>
  <c r="AE16" i="9"/>
  <c r="AL17" i="9"/>
  <c r="Q16" i="10"/>
  <c r="X18" i="10"/>
  <c r="AE10" i="10"/>
  <c r="AE12" i="10"/>
  <c r="Q10" i="1"/>
  <c r="AL10" i="1"/>
  <c r="AJ14" i="1"/>
  <c r="AK14" i="1" s="1"/>
  <c r="O18" i="11" s="1"/>
  <c r="Q12" i="1"/>
  <c r="X14" i="1"/>
  <c r="AE16" i="1"/>
  <c r="AL18" i="1"/>
  <c r="AL17" i="1"/>
  <c r="J18" i="1"/>
  <c r="J17" i="1"/>
  <c r="J14" i="1"/>
  <c r="J16" i="1"/>
  <c r="Q18" i="1"/>
  <c r="X10" i="1"/>
  <c r="X12" i="1"/>
  <c r="AE14" i="1"/>
  <c r="AL16" i="1"/>
  <c r="Q11" i="1"/>
  <c r="AC10" i="1"/>
  <c r="AD10" i="1" s="1"/>
  <c r="M14" i="11" s="1"/>
  <c r="Q17" i="1"/>
  <c r="X19" i="1"/>
  <c r="X11" i="1"/>
  <c r="AE13" i="1"/>
  <c r="AL15" i="1"/>
  <c r="J13" i="1"/>
  <c r="Q16" i="1"/>
  <c r="X18" i="1"/>
  <c r="AE12" i="1"/>
  <c r="AJ12" i="1"/>
  <c r="AK12" i="1" s="1"/>
  <c r="O16" i="11" s="1"/>
  <c r="J12" i="1"/>
  <c r="Q15" i="1"/>
  <c r="X17" i="1"/>
  <c r="AE19" i="1"/>
  <c r="AE11" i="1"/>
  <c r="AL13" i="1"/>
  <c r="Q19" i="1"/>
  <c r="AE15" i="1"/>
  <c r="H15" i="1"/>
  <c r="J11" i="1"/>
  <c r="Q14" i="1"/>
  <c r="X16" i="1"/>
  <c r="AE18" i="1"/>
  <c r="X13" i="1"/>
  <c r="J19" i="1"/>
  <c r="J10" i="1"/>
  <c r="Q13" i="1"/>
  <c r="X15" i="1"/>
  <c r="AE17" i="1"/>
  <c r="AL19" i="1"/>
  <c r="AL11" i="1"/>
  <c r="AQ13" i="10"/>
  <c r="AR13" i="10" s="1"/>
  <c r="DH17" i="11" s="1"/>
  <c r="AQ18" i="10"/>
  <c r="AR18" i="10" s="1"/>
  <c r="DH22" i="11" s="1"/>
  <c r="AQ14" i="10"/>
  <c r="AR14" i="10" s="1"/>
  <c r="DH18" i="11" s="1"/>
  <c r="AQ10" i="10"/>
  <c r="AR10" i="10" s="1"/>
  <c r="DH14" i="11" s="1"/>
  <c r="AQ19" i="10"/>
  <c r="AR19" i="10" s="1"/>
  <c r="DH23" i="11" s="1"/>
  <c r="AQ15" i="10"/>
  <c r="AR15" i="10" s="1"/>
  <c r="DH19" i="11" s="1"/>
  <c r="AQ11" i="10"/>
  <c r="AR11" i="10" s="1"/>
  <c r="DH15" i="11" s="1"/>
  <c r="AJ17" i="10"/>
  <c r="AK17" i="10" s="1"/>
  <c r="DF21" i="11" s="1"/>
  <c r="AJ13" i="10"/>
  <c r="AK13" i="10" s="1"/>
  <c r="DF17" i="11" s="1"/>
  <c r="AJ19" i="10"/>
  <c r="AK19" i="10" s="1"/>
  <c r="DF23" i="11" s="1"/>
  <c r="AQ16" i="10"/>
  <c r="AR16" i="10" s="1"/>
  <c r="DH20" i="11" s="1"/>
  <c r="AQ12" i="10"/>
  <c r="AR12" i="10" s="1"/>
  <c r="DH16" i="11" s="1"/>
  <c r="AC17" i="10"/>
  <c r="AD17" i="10" s="1"/>
  <c r="DD21" i="11" s="1"/>
  <c r="V19" i="10"/>
  <c r="W19" i="10" s="1"/>
  <c r="DB23" i="11" s="1"/>
  <c r="AQ19" i="9"/>
  <c r="AR19" i="9" s="1"/>
  <c r="CT23" i="11" s="1"/>
  <c r="AQ15" i="9"/>
  <c r="AR15" i="9" s="1"/>
  <c r="CT19" i="11" s="1"/>
  <c r="AQ11" i="9"/>
  <c r="AR11" i="9" s="1"/>
  <c r="CT15" i="11" s="1"/>
  <c r="AQ10" i="9"/>
  <c r="AR10" i="9" s="1"/>
  <c r="CT14" i="11" s="1"/>
  <c r="AJ18" i="9"/>
  <c r="AK18" i="9" s="1"/>
  <c r="CR22" i="11" s="1"/>
  <c r="AJ19" i="9"/>
  <c r="AK19" i="9" s="1"/>
  <c r="CR23" i="11" s="1"/>
  <c r="AC15" i="9"/>
  <c r="AD15" i="9" s="1"/>
  <c r="CP19" i="11" s="1"/>
  <c r="AQ17" i="8"/>
  <c r="AR17" i="8" s="1"/>
  <c r="CD21" i="11" s="1"/>
  <c r="AJ19" i="8"/>
  <c r="AK19" i="8" s="1"/>
  <c r="CB23" i="11" s="1"/>
  <c r="AJ13" i="8"/>
  <c r="AK13" i="8" s="1"/>
  <c r="CB17" i="11" s="1"/>
  <c r="AQ13" i="8"/>
  <c r="AR13" i="8" s="1"/>
  <c r="CD17" i="11" s="1"/>
  <c r="AC17" i="8"/>
  <c r="AD17" i="8" s="1"/>
  <c r="BZ21" i="11" s="1"/>
  <c r="AQ18" i="8"/>
  <c r="AR18" i="8" s="1"/>
  <c r="CD22" i="11" s="1"/>
  <c r="AQ14" i="8"/>
  <c r="AR14" i="8" s="1"/>
  <c r="CD18" i="11" s="1"/>
  <c r="AQ10" i="8"/>
  <c r="AR10" i="8" s="1"/>
  <c r="CD14" i="11" s="1"/>
  <c r="AJ12" i="8"/>
  <c r="AK12" i="8" s="1"/>
  <c r="CB16" i="11" s="1"/>
  <c r="AC18" i="8"/>
  <c r="AD18" i="8" s="1"/>
  <c r="BZ22" i="11" s="1"/>
  <c r="AC14" i="8"/>
  <c r="AD14" i="8" s="1"/>
  <c r="BZ18" i="11" s="1"/>
  <c r="AC10" i="8"/>
  <c r="AD10" i="8" s="1"/>
  <c r="BZ14" i="11" s="1"/>
  <c r="AQ16" i="8"/>
  <c r="AR16" i="8" s="1"/>
  <c r="CD20" i="11" s="1"/>
  <c r="AJ14" i="8"/>
  <c r="AK14" i="8" s="1"/>
  <c r="CB18" i="11" s="1"/>
  <c r="AC16" i="8"/>
  <c r="AD16" i="8" s="1"/>
  <c r="BZ20" i="11" s="1"/>
  <c r="V18" i="8"/>
  <c r="W18" i="8" s="1"/>
  <c r="BX22" i="11" s="1"/>
  <c r="V14" i="8"/>
  <c r="W14" i="8" s="1"/>
  <c r="BX18" i="11" s="1"/>
  <c r="L56" i="13" l="1"/>
  <c r="G32" i="13"/>
  <c r="G56" i="13"/>
  <c r="G31" i="13"/>
  <c r="G34" i="13"/>
  <c r="M55" i="13"/>
  <c r="M20" i="13"/>
  <c r="L44" i="13"/>
  <c r="G22" i="13"/>
  <c r="H34" i="13"/>
  <c r="H24" i="13"/>
  <c r="L45" i="13"/>
  <c r="M33" i="13"/>
  <c r="L20" i="13"/>
  <c r="M35" i="13"/>
  <c r="L25" i="13"/>
  <c r="L31" i="13"/>
  <c r="G21" i="13"/>
  <c r="G44" i="13"/>
  <c r="L51" i="13"/>
  <c r="H41" i="13"/>
  <c r="G53" i="13"/>
  <c r="L52" i="13"/>
  <c r="H53" i="13"/>
  <c r="M31" i="13"/>
  <c r="L24" i="13"/>
  <c r="G54" i="13"/>
  <c r="M32" i="13"/>
  <c r="M51" i="13"/>
  <c r="H52" i="13"/>
  <c r="G23" i="13"/>
  <c r="H45" i="13"/>
  <c r="AT15" i="5"/>
  <c r="AU15" i="5" s="1"/>
  <c r="BC19" i="11" s="1"/>
  <c r="L23" i="13"/>
  <c r="AT12" i="10"/>
  <c r="AU12" i="10" s="1"/>
  <c r="DI16" i="11" s="1"/>
  <c r="H54" i="13"/>
  <c r="L53" i="13"/>
  <c r="M24" i="13"/>
  <c r="M53" i="13"/>
  <c r="G24" i="13"/>
  <c r="H22" i="13"/>
  <c r="G41" i="13"/>
  <c r="H31" i="13"/>
  <c r="G30" i="13"/>
  <c r="L35" i="13"/>
  <c r="M34" i="13"/>
  <c r="M56" i="13"/>
  <c r="M42" i="13"/>
  <c r="M25" i="13"/>
  <c r="L55" i="13"/>
  <c r="L41" i="13"/>
  <c r="M45" i="13"/>
  <c r="L43" i="13"/>
  <c r="H51" i="13"/>
  <c r="H55" i="13"/>
  <c r="H56" i="13"/>
  <c r="H44" i="13"/>
  <c r="G45" i="13"/>
  <c r="M52" i="13"/>
  <c r="H23" i="13"/>
  <c r="M30" i="13"/>
  <c r="G52" i="13"/>
  <c r="M46" i="13"/>
  <c r="G51" i="13"/>
  <c r="G55" i="13"/>
  <c r="G33" i="13"/>
  <c r="L21" i="13"/>
  <c r="G42" i="13"/>
  <c r="L33" i="13"/>
  <c r="G43" i="13"/>
  <c r="L34" i="13"/>
  <c r="M44" i="13"/>
  <c r="L54" i="13"/>
  <c r="M43" i="13"/>
  <c r="H33" i="13"/>
  <c r="M21" i="13"/>
  <c r="H42" i="13"/>
  <c r="H43" i="13"/>
  <c r="M54" i="13"/>
  <c r="M41" i="13"/>
  <c r="L22" i="13"/>
  <c r="H30" i="13"/>
  <c r="M23" i="13"/>
  <c r="H32" i="13"/>
  <c r="L42" i="13"/>
  <c r="M22" i="13"/>
  <c r="L32" i="13"/>
  <c r="AT12" i="6"/>
  <c r="AU12" i="6" s="1"/>
  <c r="BQ16" i="11" s="1"/>
  <c r="AT14" i="10"/>
  <c r="AU14" i="10" s="1"/>
  <c r="DI18" i="11" s="1"/>
  <c r="AT15" i="10"/>
  <c r="AU15" i="10" s="1"/>
  <c r="DI19" i="11" s="1"/>
  <c r="AT16" i="10"/>
  <c r="AU16" i="10" s="1"/>
  <c r="DI20" i="11" s="1"/>
  <c r="AM18" i="4"/>
  <c r="AN18" i="4" s="1"/>
  <c r="AO22" i="11" s="1"/>
  <c r="AM12" i="4"/>
  <c r="AN12" i="4" s="1"/>
  <c r="AO16" i="11" s="1"/>
  <c r="AM13" i="4"/>
  <c r="AN13" i="4" s="1"/>
  <c r="AO17" i="11" s="1"/>
  <c r="AM15" i="4"/>
  <c r="AN15" i="4" s="1"/>
  <c r="AO19" i="11" s="1"/>
  <c r="AM16" i="4"/>
  <c r="AN16" i="4" s="1"/>
  <c r="AO20" i="11" s="1"/>
  <c r="AM11" i="4"/>
  <c r="AN11" i="4" s="1"/>
  <c r="AO15" i="11" s="1"/>
  <c r="AM19" i="4"/>
  <c r="AN19" i="4" s="1"/>
  <c r="AM14" i="4"/>
  <c r="AN14" i="4" s="1"/>
  <c r="AO18" i="11" s="1"/>
  <c r="AM17" i="4"/>
  <c r="AN17" i="4" s="1"/>
  <c r="AO21" i="11" s="1"/>
  <c r="AM10" i="2"/>
  <c r="AN10" i="2" s="1"/>
  <c r="G20" i="13"/>
  <c r="AM10" i="4"/>
  <c r="AN10" i="4" s="1"/>
  <c r="AO14" i="11" s="1"/>
  <c r="BA19" i="8"/>
  <c r="BB19" i="8" s="1"/>
  <c r="CG23" i="11" s="1"/>
  <c r="AT18" i="10"/>
  <c r="AU18" i="10" s="1"/>
  <c r="DI22" i="11" s="1"/>
  <c r="AT13" i="9"/>
  <c r="AU13" i="9" s="1"/>
  <c r="CU17" i="11" s="1"/>
  <c r="AT13" i="6"/>
  <c r="AU13" i="6" s="1"/>
  <c r="BQ17" i="11" s="1"/>
  <c r="AT10" i="5"/>
  <c r="AU10" i="5" s="1"/>
  <c r="AT18" i="9"/>
  <c r="AU18" i="9" s="1"/>
  <c r="CU22" i="11" s="1"/>
  <c r="AT12" i="5"/>
  <c r="AU12" i="5" s="1"/>
  <c r="BC16" i="11" s="1"/>
  <c r="AT10" i="10"/>
  <c r="AU10" i="10" s="1"/>
  <c r="AT13" i="10"/>
  <c r="AU13" i="10" s="1"/>
  <c r="DI17" i="11" s="1"/>
  <c r="AT11" i="9"/>
  <c r="AU11" i="9" s="1"/>
  <c r="CU15" i="11" s="1"/>
  <c r="AT16" i="9"/>
  <c r="AU16" i="9" s="1"/>
  <c r="CU20" i="11" s="1"/>
  <c r="AM16" i="2"/>
  <c r="AN16" i="2" s="1"/>
  <c r="AC20" i="11" s="1"/>
  <c r="AT17" i="9"/>
  <c r="AU17" i="9" s="1"/>
  <c r="CU21" i="11" s="1"/>
  <c r="AT18" i="6"/>
  <c r="AU18" i="6" s="1"/>
  <c r="BQ22" i="11" s="1"/>
  <c r="AT14" i="6"/>
  <c r="AU14" i="6" s="1"/>
  <c r="BQ18" i="11" s="1"/>
  <c r="AT16" i="5"/>
  <c r="AU16" i="5" s="1"/>
  <c r="BC20" i="11" s="1"/>
  <c r="AM18" i="2"/>
  <c r="AN18" i="2" s="1"/>
  <c r="AC22" i="11" s="1"/>
  <c r="BA10" i="8"/>
  <c r="BB10" i="8" s="1"/>
  <c r="I15" i="1"/>
  <c r="G19" i="11" s="1"/>
  <c r="P16" i="1"/>
  <c r="I20" i="11" s="1"/>
  <c r="I14" i="1"/>
  <c r="G18" i="11" s="1"/>
  <c r="I17" i="1"/>
  <c r="G21" i="11" s="1"/>
  <c r="I11" i="1"/>
  <c r="G15" i="11" s="1"/>
  <c r="P10" i="1"/>
  <c r="I14" i="11" s="1"/>
  <c r="P12" i="1"/>
  <c r="I16" i="11" s="1"/>
  <c r="G14" i="11"/>
  <c r="I12" i="1"/>
  <c r="G16" i="11" s="1"/>
  <c r="I18" i="1"/>
  <c r="G22" i="11" s="1"/>
  <c r="P15" i="1"/>
  <c r="I19" i="11" s="1"/>
  <c r="P11" i="1"/>
  <c r="I15" i="11" s="1"/>
  <c r="I16" i="1"/>
  <c r="G20" i="11" s="1"/>
  <c r="P18" i="1"/>
  <c r="I22" i="11" s="1"/>
  <c r="I19" i="1"/>
  <c r="G23" i="11" s="1"/>
  <c r="P14" i="1"/>
  <c r="I18" i="11" s="1"/>
  <c r="P19" i="1"/>
  <c r="I23" i="11" s="1"/>
  <c r="P17" i="1"/>
  <c r="I21" i="11" s="1"/>
  <c r="I13" i="1"/>
  <c r="G17" i="11" s="1"/>
  <c r="P13" i="1"/>
  <c r="I17" i="11" s="1"/>
  <c r="AT10" i="9"/>
  <c r="AU10" i="9" s="1"/>
  <c r="AM12" i="2"/>
  <c r="AN12" i="2" s="1"/>
  <c r="AC16" i="11" s="1"/>
  <c r="AT13" i="5"/>
  <c r="AU13" i="5" s="1"/>
  <c r="BC17" i="11" s="1"/>
  <c r="BA13" i="8"/>
  <c r="BB13" i="8" s="1"/>
  <c r="CG17" i="11" s="1"/>
  <c r="BA15" i="8"/>
  <c r="BB15" i="8" s="1"/>
  <c r="CG19" i="11" s="1"/>
  <c r="AT14" i="9"/>
  <c r="AU14" i="9" s="1"/>
  <c r="CU18" i="11" s="1"/>
  <c r="AT19" i="9"/>
  <c r="AU19" i="9" s="1"/>
  <c r="CU23" i="11" s="1"/>
  <c r="AM11" i="2"/>
  <c r="AN11" i="2" s="1"/>
  <c r="AC15" i="11" s="1"/>
  <c r="AT17" i="10"/>
  <c r="AU17" i="10" s="1"/>
  <c r="DI21" i="11" s="1"/>
  <c r="AT11" i="6"/>
  <c r="AU11" i="6" s="1"/>
  <c r="BQ15" i="11" s="1"/>
  <c r="AM19" i="2"/>
  <c r="AN19" i="2" s="1"/>
  <c r="AM13" i="2"/>
  <c r="AN13" i="2" s="1"/>
  <c r="AC17" i="11" s="1"/>
  <c r="BA12" i="8"/>
  <c r="BB12" i="8" s="1"/>
  <c r="CG16" i="11" s="1"/>
  <c r="AT19" i="6"/>
  <c r="AU19" i="6" s="1"/>
  <c r="BQ23" i="11" s="1"/>
  <c r="BA14" i="8"/>
  <c r="BB14" i="8" s="1"/>
  <c r="CG18" i="11" s="1"/>
  <c r="AT14" i="5"/>
  <c r="AU14" i="5" s="1"/>
  <c r="BC18" i="11" s="1"/>
  <c r="AM15" i="2"/>
  <c r="AN15" i="2" s="1"/>
  <c r="AC19" i="11" s="1"/>
  <c r="AT11" i="5"/>
  <c r="AU11" i="5" s="1"/>
  <c r="AM14" i="2"/>
  <c r="AN14" i="2" s="1"/>
  <c r="AC18" i="11" s="1"/>
  <c r="AM17" i="2"/>
  <c r="AN17" i="2" s="1"/>
  <c r="AC21" i="11" s="1"/>
  <c r="AT17" i="6"/>
  <c r="AU17" i="6" s="1"/>
  <c r="BQ21" i="11" s="1"/>
  <c r="AT19" i="5"/>
  <c r="AU19" i="5" s="1"/>
  <c r="BC23" i="11" s="1"/>
  <c r="BA16" i="8"/>
  <c r="BB16" i="8" s="1"/>
  <c r="CG20" i="11" s="1"/>
  <c r="AT15" i="6"/>
  <c r="AU15" i="6" s="1"/>
  <c r="BQ19" i="11" s="1"/>
  <c r="AT17" i="5"/>
  <c r="AU17" i="5" s="1"/>
  <c r="BC21" i="11" s="1"/>
  <c r="BA17" i="8"/>
  <c r="BB17" i="8" s="1"/>
  <c r="CG21" i="11" s="1"/>
  <c r="AT16" i="6"/>
  <c r="AU16" i="6" s="1"/>
  <c r="BQ20" i="11" s="1"/>
  <c r="AT18" i="5"/>
  <c r="AU18" i="5" s="1"/>
  <c r="BC22" i="11" s="1"/>
  <c r="BA18" i="8"/>
  <c r="BB18" i="8" s="1"/>
  <c r="CG22" i="11" s="1"/>
  <c r="BA11" i="8"/>
  <c r="BB11" i="8" s="1"/>
  <c r="CG15" i="11" s="1"/>
  <c r="AT11" i="10"/>
  <c r="AU11" i="10" s="1"/>
  <c r="DI15" i="11" s="1"/>
  <c r="AT15" i="9"/>
  <c r="AU15" i="9" s="1"/>
  <c r="CU19" i="11" s="1"/>
  <c r="AT12" i="9"/>
  <c r="AU12" i="9" s="1"/>
  <c r="CU16" i="11" s="1"/>
  <c r="AT19" i="10"/>
  <c r="AU19" i="10" s="1"/>
  <c r="DI23" i="11" s="1"/>
  <c r="AT10" i="6"/>
  <c r="AU10" i="6" s="1"/>
  <c r="AM19" i="1"/>
  <c r="AN19" i="1" s="1"/>
  <c r="P23" i="11" s="1"/>
  <c r="AM15" i="1"/>
  <c r="AN15" i="1" s="1"/>
  <c r="P19" i="11" s="1"/>
  <c r="AM12" i="1"/>
  <c r="AN12" i="1" s="1"/>
  <c r="P16" i="11" s="1"/>
  <c r="AM10" i="1"/>
  <c r="AN10" i="1" s="1"/>
  <c r="AM17" i="1"/>
  <c r="AN17" i="1" s="1"/>
  <c r="P21" i="11" s="1"/>
  <c r="AM13" i="1"/>
  <c r="AN13" i="1" s="1"/>
  <c r="P17" i="11" s="1"/>
  <c r="AM18" i="1"/>
  <c r="AN18" i="1" s="1"/>
  <c r="P22" i="11" s="1"/>
  <c r="AM16" i="1"/>
  <c r="AN16" i="1" s="1"/>
  <c r="P20" i="11" s="1"/>
  <c r="AM11" i="1"/>
  <c r="AN11" i="1" s="1"/>
  <c r="P15" i="11" s="1"/>
  <c r="AM14" i="1"/>
  <c r="AN14" i="1" s="1"/>
  <c r="P18" i="11" s="1"/>
  <c r="H20" i="13" l="1"/>
  <c r="H21" i="13"/>
  <c r="F46" i="13"/>
  <c r="DI14" i="11"/>
  <c r="K57" i="13" s="1"/>
  <c r="AW17" i="10"/>
  <c r="AW18" i="10"/>
  <c r="AW16" i="10"/>
  <c r="AW11" i="10"/>
  <c r="AW19" i="10"/>
  <c r="AW12" i="10"/>
  <c r="AW10" i="10"/>
  <c r="AW13" i="10"/>
  <c r="AW14" i="10"/>
  <c r="AW15" i="10"/>
  <c r="CU14" i="11"/>
  <c r="K47" i="13" s="1"/>
  <c r="AW15" i="9"/>
  <c r="AW13" i="9"/>
  <c r="AW16" i="9"/>
  <c r="AW14" i="9"/>
  <c r="AW17" i="9"/>
  <c r="AW10" i="9"/>
  <c r="AW18" i="9"/>
  <c r="AW19" i="9"/>
  <c r="AW11" i="9"/>
  <c r="AW12" i="9"/>
  <c r="CG14" i="11"/>
  <c r="K37" i="13" s="1"/>
  <c r="BD13" i="8"/>
  <c r="BD14" i="8"/>
  <c r="BD11" i="8"/>
  <c r="BD15" i="8"/>
  <c r="BD10" i="8"/>
  <c r="BD16" i="8"/>
  <c r="BD17" i="8"/>
  <c r="BD18" i="8"/>
  <c r="BD19" i="8"/>
  <c r="BD12" i="8"/>
  <c r="BQ14" i="11"/>
  <c r="K26" i="13" s="1"/>
  <c r="AW11" i="6"/>
  <c r="AW19" i="6"/>
  <c r="AW10" i="6"/>
  <c r="AW12" i="6"/>
  <c r="AW13" i="6"/>
  <c r="AW18" i="6"/>
  <c r="AW14" i="6"/>
  <c r="AW15" i="6"/>
  <c r="AW17" i="6"/>
  <c r="AW16" i="6"/>
  <c r="F57" i="13"/>
  <c r="AW10" i="5"/>
  <c r="AC14" i="11"/>
  <c r="F35" i="13" s="1"/>
  <c r="AP10" i="2"/>
  <c r="AQ10" i="1"/>
  <c r="BC15" i="11"/>
  <c r="AW14" i="5"/>
  <c r="AW15" i="5"/>
  <c r="AW16" i="5"/>
  <c r="AW17" i="5"/>
  <c r="AW13" i="5"/>
  <c r="AW18" i="5"/>
  <c r="AW11" i="5"/>
  <c r="AW19" i="5"/>
  <c r="AW12" i="5"/>
  <c r="AO23" i="11"/>
  <c r="AP11" i="4"/>
  <c r="AP12" i="4"/>
  <c r="AP13" i="4"/>
  <c r="AP14" i="4"/>
  <c r="AP15" i="4"/>
  <c r="AP16" i="4"/>
  <c r="AP17" i="4"/>
  <c r="AP18" i="4"/>
  <c r="AP19" i="4"/>
  <c r="AP10" i="4"/>
  <c r="AC23" i="11"/>
  <c r="AP11" i="2"/>
  <c r="AP19" i="2"/>
  <c r="AP12" i="2"/>
  <c r="AP13" i="2"/>
  <c r="AP14" i="2"/>
  <c r="AP15" i="2"/>
  <c r="AP16" i="2"/>
  <c r="AP17" i="2"/>
  <c r="AP18" i="2"/>
  <c r="P14" i="11"/>
  <c r="AQ11" i="1"/>
  <c r="AQ19" i="1"/>
  <c r="AQ12" i="1"/>
  <c r="AQ13" i="1"/>
  <c r="AQ14" i="1"/>
  <c r="AQ15" i="1"/>
  <c r="AQ16" i="1"/>
  <c r="AQ17" i="1"/>
  <c r="AQ18" i="1"/>
  <c r="BC10" i="8"/>
  <c r="CH14" i="11" s="1"/>
  <c r="AO10" i="1"/>
  <c r="AV10" i="5"/>
  <c r="BD14" i="11" s="1"/>
  <c r="AV10" i="10"/>
  <c r="DJ14" i="11" s="1"/>
  <c r="AV10" i="6"/>
  <c r="BR14" i="11" s="1"/>
  <c r="AO10" i="4"/>
  <c r="AP14" i="11" s="1"/>
  <c r="AV10" i="9"/>
  <c r="CV14" i="11" s="1"/>
  <c r="AO14" i="1"/>
  <c r="BC14" i="8"/>
  <c r="CH18" i="11" s="1"/>
  <c r="AV14" i="10"/>
  <c r="DJ18" i="11" s="1"/>
  <c r="AO14" i="4"/>
  <c r="AP18" i="11" s="1"/>
  <c r="AV14" i="9"/>
  <c r="CV18" i="11" s="1"/>
  <c r="AV14" i="6"/>
  <c r="BR18" i="11" s="1"/>
  <c r="AV14" i="5"/>
  <c r="BD18" i="11" s="1"/>
  <c r="AO13" i="1"/>
  <c r="AO13" i="4"/>
  <c r="AP17" i="11" s="1"/>
  <c r="AV13" i="9"/>
  <c r="CV17" i="11" s="1"/>
  <c r="AV13" i="6"/>
  <c r="BR17" i="11" s="1"/>
  <c r="BC13" i="8"/>
  <c r="CH17" i="11" s="1"/>
  <c r="AV13" i="10"/>
  <c r="DJ17" i="11" s="1"/>
  <c r="AV13" i="5"/>
  <c r="BD17" i="11" s="1"/>
  <c r="AO16" i="1"/>
  <c r="AV16" i="9"/>
  <c r="CV20" i="11" s="1"/>
  <c r="AV16" i="6"/>
  <c r="BR20" i="11" s="1"/>
  <c r="AV16" i="10"/>
  <c r="DJ20" i="11" s="1"/>
  <c r="AV16" i="5"/>
  <c r="BD20" i="11" s="1"/>
  <c r="BC16" i="8"/>
  <c r="CH20" i="11" s="1"/>
  <c r="AO16" i="4"/>
  <c r="AP20" i="11" s="1"/>
  <c r="AO17" i="1"/>
  <c r="AO17" i="4"/>
  <c r="AP21" i="11" s="1"/>
  <c r="AV17" i="9"/>
  <c r="CV21" i="11" s="1"/>
  <c r="AV17" i="6"/>
  <c r="BR21" i="11" s="1"/>
  <c r="AV17" i="10"/>
  <c r="DJ21" i="11" s="1"/>
  <c r="AV17" i="5"/>
  <c r="BD21" i="11" s="1"/>
  <c r="BC17" i="8"/>
  <c r="CH21" i="11" s="1"/>
  <c r="AO12" i="1"/>
  <c r="AV12" i="9"/>
  <c r="CV16" i="11" s="1"/>
  <c r="AV12" i="6"/>
  <c r="BR16" i="11" s="1"/>
  <c r="AO12" i="4"/>
  <c r="AP16" i="11" s="1"/>
  <c r="AV12" i="10"/>
  <c r="DJ16" i="11" s="1"/>
  <c r="AV12" i="5"/>
  <c r="BD16" i="11" s="1"/>
  <c r="BC12" i="8"/>
  <c r="CH16" i="11" s="1"/>
  <c r="AO11" i="1"/>
  <c r="AV11" i="10"/>
  <c r="DJ15" i="11" s="1"/>
  <c r="AV11" i="5"/>
  <c r="BD15" i="11" s="1"/>
  <c r="AV11" i="6"/>
  <c r="BR15" i="11" s="1"/>
  <c r="BC11" i="8"/>
  <c r="CH15" i="11" s="1"/>
  <c r="AO11" i="4"/>
  <c r="AP15" i="11" s="1"/>
  <c r="AV11" i="9"/>
  <c r="CV15" i="11" s="1"/>
  <c r="AO15" i="1"/>
  <c r="AV15" i="10"/>
  <c r="DJ19" i="11" s="1"/>
  <c r="AV15" i="5"/>
  <c r="BD19" i="11" s="1"/>
  <c r="BC15" i="8"/>
  <c r="CH19" i="11" s="1"/>
  <c r="AV15" i="6"/>
  <c r="BR19" i="11" s="1"/>
  <c r="AO15" i="4"/>
  <c r="AP19" i="11" s="1"/>
  <c r="AV15" i="9"/>
  <c r="CV19" i="11" s="1"/>
  <c r="AO18" i="1"/>
  <c r="BC18" i="8"/>
  <c r="CH22" i="11" s="1"/>
  <c r="AO18" i="4"/>
  <c r="AP22" i="11" s="1"/>
  <c r="AV18" i="10"/>
  <c r="DJ22" i="11" s="1"/>
  <c r="AV18" i="5"/>
  <c r="BD22" i="11" s="1"/>
  <c r="AV18" i="9"/>
  <c r="CV22" i="11" s="1"/>
  <c r="AV18" i="6"/>
  <c r="BR22" i="11" s="1"/>
  <c r="AO19" i="1"/>
  <c r="AV19" i="10"/>
  <c r="DJ23" i="11" s="1"/>
  <c r="AV19" i="5"/>
  <c r="BD23" i="11" s="1"/>
  <c r="AV19" i="9"/>
  <c r="CV23" i="11" s="1"/>
  <c r="AV19" i="6"/>
  <c r="BR23" i="11" s="1"/>
  <c r="BC19" i="8"/>
  <c r="CH23" i="11" s="1"/>
  <c r="AO19" i="4"/>
  <c r="AP23" i="11" s="1"/>
  <c r="F25" i="13" l="1"/>
  <c r="H46" i="13"/>
  <c r="M47" i="13"/>
  <c r="H57" i="13"/>
  <c r="M57" i="13"/>
  <c r="M37" i="13"/>
  <c r="M26" i="13"/>
  <c r="AP13" i="1"/>
  <c r="Q17" i="11"/>
  <c r="AP16" i="1"/>
  <c r="Q20" i="11"/>
  <c r="AP17" i="1"/>
  <c r="Q21" i="11"/>
  <c r="AP12" i="1"/>
  <c r="Q16" i="11"/>
  <c r="AP19" i="1"/>
  <c r="Q23" i="11"/>
  <c r="AP14" i="1"/>
  <c r="Q18" i="11"/>
  <c r="AP18" i="1"/>
  <c r="Q22" i="11"/>
  <c r="AP11" i="1"/>
  <c r="Q15" i="11"/>
  <c r="AP15" i="1"/>
  <c r="Q19" i="11"/>
  <c r="AP10" i="1"/>
  <c r="Q14" i="11"/>
  <c r="DM16" i="11" l="1"/>
  <c r="DN16" i="11" s="1"/>
  <c r="DM15" i="11"/>
  <c r="DN15" i="11" s="1"/>
  <c r="DM23" i="11"/>
  <c r="DN23" i="11" s="1"/>
  <c r="H25" i="13"/>
  <c r="AO18" i="2"/>
  <c r="AD22" i="11" s="1"/>
  <c r="R22" i="11"/>
  <c r="DM22" i="11" s="1"/>
  <c r="DN22" i="11" s="1"/>
  <c r="AO17" i="2"/>
  <c r="AD21" i="11" s="1"/>
  <c r="R21" i="11"/>
  <c r="DM21" i="11" s="1"/>
  <c r="DN21" i="11" s="1"/>
  <c r="AO11" i="2"/>
  <c r="AD15" i="11" s="1"/>
  <c r="R15" i="11"/>
  <c r="AO10" i="2"/>
  <c r="AD14" i="11" s="1"/>
  <c r="R14" i="11"/>
  <c r="DM14" i="11" s="1"/>
  <c r="DN14" i="11" s="1"/>
  <c r="AO16" i="2"/>
  <c r="AD20" i="11" s="1"/>
  <c r="R20" i="11"/>
  <c r="DM20" i="11" s="1"/>
  <c r="DN20" i="11" s="1"/>
  <c r="AO12" i="2"/>
  <c r="AD16" i="11" s="1"/>
  <c r="R16" i="11"/>
  <c r="AO14" i="2"/>
  <c r="AD18" i="11" s="1"/>
  <c r="R18" i="11"/>
  <c r="DM18" i="11" s="1"/>
  <c r="DN18" i="11" s="1"/>
  <c r="AO15" i="2"/>
  <c r="AD19" i="11" s="1"/>
  <c r="R19" i="11"/>
  <c r="DM19" i="11" s="1"/>
  <c r="DN19" i="11" s="1"/>
  <c r="AO19" i="2"/>
  <c r="AD23" i="11" s="1"/>
  <c r="R23" i="11"/>
  <c r="AO13" i="2"/>
  <c r="AD17" i="11" s="1"/>
  <c r="R17" i="11"/>
  <c r="DM17" i="11" s="1"/>
  <c r="DN17" i="11" s="1"/>
  <c r="G60" i="13" l="1"/>
  <c r="E62" i="13" s="1"/>
  <c r="DL22" i="11"/>
  <c r="DL23" i="11"/>
  <c r="DL20" i="11"/>
  <c r="DL17" i="11"/>
  <c r="DL16" i="11"/>
  <c r="DL21" i="11"/>
  <c r="H35" i="13"/>
  <c r="DL15" i="11"/>
  <c r="DL19" i="11"/>
  <c r="DL14" i="11"/>
  <c r="DL18" i="11"/>
</calcChain>
</file>

<file path=xl/sharedStrings.xml><?xml version="1.0" encoding="utf-8"?>
<sst xmlns="http://schemas.openxmlformats.org/spreadsheetml/2006/main" count="740" uniqueCount="221">
  <si>
    <t>Grade</t>
  </si>
  <si>
    <t>Percentage</t>
  </si>
  <si>
    <t>A</t>
  </si>
  <si>
    <t>B</t>
  </si>
  <si>
    <t>C</t>
  </si>
  <si>
    <t>D</t>
  </si>
  <si>
    <t>F</t>
  </si>
  <si>
    <t>Name</t>
  </si>
  <si>
    <t>No.</t>
  </si>
  <si>
    <t>Mids</t>
  </si>
  <si>
    <t>Internals</t>
  </si>
  <si>
    <t>Finals</t>
  </si>
  <si>
    <t>GPA</t>
  </si>
  <si>
    <t>SGPA</t>
  </si>
  <si>
    <t>CGPA</t>
  </si>
  <si>
    <t>Product</t>
  </si>
  <si>
    <t>Marks</t>
  </si>
  <si>
    <r>
      <t>SEMESTER 2</t>
    </r>
    <r>
      <rPr>
        <b/>
        <vertAlign val="superscript"/>
        <sz val="16"/>
        <color theme="1"/>
        <rFont val="Calibri"/>
        <family val="2"/>
        <scheme val="minor"/>
      </rPr>
      <t>nd</t>
    </r>
  </si>
  <si>
    <r>
      <t>SEMESTER 3</t>
    </r>
    <r>
      <rPr>
        <b/>
        <vertAlign val="superscript"/>
        <sz val="16"/>
        <color theme="1"/>
        <rFont val="Calibri"/>
        <family val="2"/>
        <scheme val="minor"/>
      </rPr>
      <t>rd</t>
    </r>
  </si>
  <si>
    <r>
      <t>SEMESTER 4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</si>
  <si>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5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</si>
  <si>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6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</si>
  <si>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7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</si>
  <si>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8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</si>
  <si>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t>Total Cr. Hours</t>
  </si>
  <si>
    <r>
      <t>SEMESTER 1</t>
    </r>
    <r>
      <rPr>
        <b/>
        <vertAlign val="superscript"/>
        <sz val="16"/>
        <color theme="1"/>
        <rFont val="Calibri"/>
        <family val="2"/>
        <scheme val="minor"/>
      </rPr>
      <t>st</t>
    </r>
  </si>
  <si>
    <t>S#</t>
  </si>
  <si>
    <t>Course Title</t>
  </si>
  <si>
    <t>Principle of Management</t>
  </si>
  <si>
    <t>Islamic Studies</t>
  </si>
  <si>
    <t>Sociology</t>
  </si>
  <si>
    <t>Introduction to Computer Application</t>
  </si>
  <si>
    <t>Total</t>
  </si>
  <si>
    <t>Cr. Hours</t>
  </si>
  <si>
    <t>English II</t>
  </si>
  <si>
    <t>English I</t>
  </si>
  <si>
    <t>Principles of Marketing</t>
  </si>
  <si>
    <t>Business Mathematics</t>
  </si>
  <si>
    <t>Principles of Accounting</t>
  </si>
  <si>
    <t>Pakistan Studies</t>
  </si>
  <si>
    <t>Course title</t>
  </si>
  <si>
    <t>Oral communication</t>
  </si>
  <si>
    <t>Principles of Microeconomics</t>
  </si>
  <si>
    <t>Financial Accounting</t>
  </si>
  <si>
    <t>Marketing Mnagement</t>
  </si>
  <si>
    <t>Introduction to Statistics</t>
  </si>
  <si>
    <t>Cr</t>
  </si>
  <si>
    <t>Business Finance</t>
  </si>
  <si>
    <t>Management Infromation System</t>
  </si>
  <si>
    <t>Business Communicaton</t>
  </si>
  <si>
    <t>Statistical Inference</t>
  </si>
  <si>
    <t>Business Ethics</t>
  </si>
  <si>
    <t>Anthropology</t>
  </si>
  <si>
    <t>Organizational Behavior</t>
  </si>
  <si>
    <t>Psychology</t>
  </si>
  <si>
    <t>Human Resource Management</t>
  </si>
  <si>
    <t>Personal and professional development</t>
  </si>
  <si>
    <t>Principles of  Macrorconomics</t>
  </si>
  <si>
    <t>Foreign language I</t>
  </si>
  <si>
    <t>Business Research Methods</t>
  </si>
  <si>
    <t>Financial Management</t>
  </si>
  <si>
    <t>Business and Company LAW</t>
  </si>
  <si>
    <t>Production and Operations Managements</t>
  </si>
  <si>
    <t>Community Work</t>
  </si>
  <si>
    <t>Internship</t>
  </si>
  <si>
    <t>Project Management</t>
  </si>
  <si>
    <t>Entrepreneurship</t>
  </si>
  <si>
    <t>Issues in Pkistan Economy</t>
  </si>
  <si>
    <t>Seminar in Business Studies</t>
  </si>
  <si>
    <t>Foreign Language II</t>
  </si>
  <si>
    <t>Elective 1</t>
  </si>
  <si>
    <t>Business Policy</t>
  </si>
  <si>
    <t>International Business</t>
  </si>
  <si>
    <t>Critical Thinking and Logic</t>
  </si>
  <si>
    <t>Elective 2</t>
  </si>
  <si>
    <t>Project UG</t>
  </si>
  <si>
    <t>Elective 3</t>
  </si>
  <si>
    <t>Oral Communication</t>
  </si>
  <si>
    <t>Marketing Management</t>
  </si>
  <si>
    <t>Business Communication</t>
  </si>
  <si>
    <t>Antropology</t>
  </si>
  <si>
    <t>Psycology</t>
  </si>
  <si>
    <t>Foreign Language I</t>
  </si>
  <si>
    <t>Issues in Pakistan Economy</t>
  </si>
  <si>
    <t>CGPA Round Up</t>
  </si>
  <si>
    <t>MAIN MENU</t>
  </si>
  <si>
    <t>Management Accounting</t>
  </si>
  <si>
    <t>Personal &amp; Professional Development</t>
  </si>
  <si>
    <t>Principles of Macroeconomics</t>
  </si>
  <si>
    <t>Business and Company Law</t>
  </si>
  <si>
    <t>Department of Business Administration</t>
  </si>
  <si>
    <t xml:space="preserve">          GRADE CARD (PROVISIONAL)</t>
  </si>
  <si>
    <t>Registration No.</t>
  </si>
  <si>
    <t>Medal</t>
  </si>
  <si>
    <t>Course Code</t>
  </si>
  <si>
    <t>Course Name</t>
  </si>
  <si>
    <t>Eng-401</t>
  </si>
  <si>
    <t>IT-401</t>
  </si>
  <si>
    <t>Mngt-401</t>
  </si>
  <si>
    <t>Hum-101</t>
  </si>
  <si>
    <t>Hum-102</t>
  </si>
  <si>
    <t>Eng-402</t>
  </si>
  <si>
    <t>IT-402</t>
  </si>
  <si>
    <t>Hum-103</t>
  </si>
  <si>
    <t>Bachelor of Business Administration (BBA)</t>
  </si>
  <si>
    <t>Positions</t>
  </si>
  <si>
    <t>Management Information System</t>
  </si>
  <si>
    <t>RESULT</t>
  </si>
  <si>
    <t>Father Name</t>
  </si>
  <si>
    <t>FUI/FURC/S-22-BBAH-083</t>
  </si>
  <si>
    <t>FUI/FURC/S-22-BBAH-087</t>
  </si>
  <si>
    <t>FUI/FURC/S-22-BBAH-089</t>
  </si>
  <si>
    <t>FUI/FURC/S-22-BBAH-090</t>
  </si>
  <si>
    <t>FUI/FURC/S-22-BBAH-069</t>
  </si>
  <si>
    <t>FUI/FURC/S-22-BBAH-070</t>
  </si>
  <si>
    <t>FUI/FURC/S-22-BBAH-075</t>
  </si>
  <si>
    <t>Code 5-1</t>
  </si>
  <si>
    <t>Code 5-2</t>
  </si>
  <si>
    <t>Code 5-3</t>
  </si>
  <si>
    <t>Code 5-4</t>
  </si>
  <si>
    <t>Code 5-5</t>
  </si>
  <si>
    <t>Code 5-6</t>
  </si>
  <si>
    <t>Code 6-1</t>
  </si>
  <si>
    <t>Code 6-2</t>
  </si>
  <si>
    <t>Code 6-3</t>
  </si>
  <si>
    <t>Code 6-4</t>
  </si>
  <si>
    <t>Code 6-5</t>
  </si>
  <si>
    <t>Code 6-6</t>
  </si>
  <si>
    <t>Code 6-7</t>
  </si>
  <si>
    <t>Code 7-1</t>
  </si>
  <si>
    <t>Code 7-2</t>
  </si>
  <si>
    <t>Code 7-3</t>
  </si>
  <si>
    <t>Code 7-4</t>
  </si>
  <si>
    <t>Code 7-5</t>
  </si>
  <si>
    <t>Code 7-6</t>
  </si>
  <si>
    <t>Code 8-1</t>
  </si>
  <si>
    <t>Code 8-2</t>
  </si>
  <si>
    <t>Code 8-3</t>
  </si>
  <si>
    <t>Code 8-4</t>
  </si>
  <si>
    <t>Code 8-5</t>
  </si>
  <si>
    <t>Code 8-6</t>
  </si>
  <si>
    <t>Code 4-1</t>
  </si>
  <si>
    <t>Code 4-2</t>
  </si>
  <si>
    <t>Code 4-3</t>
  </si>
  <si>
    <t>Code 4-4</t>
  </si>
  <si>
    <t>Code 4-5</t>
  </si>
  <si>
    <t>Code 4-6</t>
  </si>
  <si>
    <t>Code 3-1</t>
  </si>
  <si>
    <t>Code 3-2</t>
  </si>
  <si>
    <t>Code 3-3</t>
  </si>
  <si>
    <t>Code 3-4</t>
  </si>
  <si>
    <t>Code 3-5</t>
  </si>
  <si>
    <t>MKT-401</t>
  </si>
  <si>
    <t>MTH-101</t>
  </si>
  <si>
    <t>Section:</t>
  </si>
  <si>
    <t>Medal:</t>
  </si>
  <si>
    <t>Enter Serial No.:</t>
  </si>
  <si>
    <t>Program:</t>
  </si>
  <si>
    <t>Registration No.:</t>
  </si>
  <si>
    <t>Name:</t>
  </si>
  <si>
    <t>Father's Name:</t>
  </si>
  <si>
    <t xml:space="preserve">                       Total Credit Hrs Completed</t>
  </si>
  <si>
    <t xml:space="preserve">                    Yet to Clear No. of Credit Hrs</t>
  </si>
  <si>
    <t>Issued Date:</t>
  </si>
  <si>
    <t>Monday,October 30,2023</t>
  </si>
  <si>
    <t>Checked By:</t>
  </si>
  <si>
    <t>Saeed Ahmed</t>
  </si>
  <si>
    <t>Signatures:</t>
  </si>
  <si>
    <t>(MSA)</t>
  </si>
  <si>
    <t>(EXAM CELL)</t>
  </si>
  <si>
    <t>English - 1</t>
  </si>
  <si>
    <t>Introduction to Computer Applications</t>
  </si>
  <si>
    <t>Principles of Management</t>
  </si>
  <si>
    <t>SEMESTER 2</t>
  </si>
  <si>
    <t>SEMESTER 3</t>
  </si>
  <si>
    <t>SEMESTER 4</t>
  </si>
  <si>
    <t>SEMESTER 5</t>
  </si>
  <si>
    <t>SEMESTER 6</t>
  </si>
  <si>
    <t>English - II</t>
  </si>
  <si>
    <t>SEMESTER 7</t>
  </si>
  <si>
    <t>SEMESTER 8</t>
  </si>
  <si>
    <t>SEMESTER 1</t>
  </si>
  <si>
    <t>CUMMULATIVE SHEET</t>
  </si>
  <si>
    <t xml:space="preserve">      FOUNDATION UNIVERSITY</t>
  </si>
  <si>
    <t>SEMESTER: Spring-2022</t>
  </si>
  <si>
    <t>SEMESTER: Fall-2022</t>
  </si>
  <si>
    <t>SEMESTER: Spring-2023</t>
  </si>
  <si>
    <t>SEMESTER: Fall-2023</t>
  </si>
  <si>
    <t>SEMESTER: Spring-2024</t>
  </si>
  <si>
    <t>SEMESTER: Fall-2024</t>
  </si>
  <si>
    <t>SEMESTER: Spring-2025</t>
  </si>
  <si>
    <t>SEMESTER: Fall-2025</t>
  </si>
  <si>
    <t>FUI/FURC/S-22-BBAH-079</t>
  </si>
  <si>
    <t>FUI/FURC/S-22-BBAH-078</t>
  </si>
  <si>
    <t>FUI/FURC/S-22-BBAH-081</t>
  </si>
  <si>
    <t>Students Scoring
F Grade</t>
  </si>
  <si>
    <t xml:space="preserve">              I S L A M A B A D </t>
  </si>
  <si>
    <t>Spring 2022 - Fall 2025</t>
  </si>
  <si>
    <t>Yet to Clear
No. of Cr. Hrs</t>
  </si>
  <si>
    <t>No. of
F Grade</t>
  </si>
  <si>
    <t>Minimum Cr. Hrs required to qualify for degree</t>
  </si>
  <si>
    <t>Siddique khan</t>
  </si>
  <si>
    <t>Shahid Khan</t>
  </si>
  <si>
    <t xml:space="preserve">Hasan Ahmed </t>
  </si>
  <si>
    <t>M. Islam</t>
  </si>
  <si>
    <t>Usama Khan</t>
  </si>
  <si>
    <t>Abdul Moiz</t>
  </si>
  <si>
    <t>Muhammad Saad</t>
  </si>
  <si>
    <t>Yusuf Ali</t>
  </si>
  <si>
    <t>Shahid Saeed</t>
  </si>
  <si>
    <t>Ali Ahmed</t>
  </si>
  <si>
    <t>Muhammad Ali</t>
  </si>
  <si>
    <t>Momin Saeed</t>
  </si>
  <si>
    <t>Ali Khan</t>
  </si>
  <si>
    <t>Moeez Akbar</t>
  </si>
  <si>
    <t>Usman Khan</t>
  </si>
  <si>
    <t>Hasan Khan</t>
  </si>
  <si>
    <t>Saleem Ali</t>
  </si>
  <si>
    <t>Muhammad Gohar</t>
  </si>
  <si>
    <t>Adil Akbar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</si>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</sst>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8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perscript"/>
      <sz val="16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indexed="18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6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  <font>
      <b/>
      <sz val="40"/>
      <color theme="0"/>
      <name val="Calibri"/>
      <family val="2"/>
      <scheme val="minor"/>
    </font>
    <font>
      <b/>
      <sz val="22"/>
      <color rgb="FF000000"/>
      <name val="Calibri"/>
      <family val="2"/>
    </font>
    <font>
      <b/>
      <vertAlign val="superscript"/>
      <sz val="16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18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073673"/>
        <bgColor indexed="64"/>
      </patternFill>
    </fill>
    <fill>
      <patternFill patternType="solid">
        <fgColor rgb="FF800080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7">
    <xf numFmtId="0" fontId="0" fillId="0" borderId="0" xfId="0"/>
    <xf numFmtId="9" fontId="2" fillId="2" borderId="1" xfId="0" applyNumberFormat="1" applyFont="1" applyFill="1" applyBorder="1"/>
    <xf numFmtId="0" fontId="2" fillId="2" borderId="2" xfId="0" applyFont="1" applyFill="1" applyBorder="1"/>
    <xf numFmtId="9" fontId="2" fillId="2" borderId="3" xfId="0" applyNumberFormat="1" applyFont="1" applyFill="1" applyBorder="1"/>
    <xf numFmtId="2" fontId="2" fillId="2" borderId="4" xfId="0" applyNumberFormat="1" applyFont="1" applyFill="1" applyBorder="1"/>
    <xf numFmtId="0" fontId="3" fillId="3" borderId="8" xfId="0" applyFont="1" applyFill="1" applyBorder="1" applyAlignment="1">
      <alignment horizontal="right"/>
    </xf>
    <xf numFmtId="9" fontId="2" fillId="2" borderId="0" xfId="0" applyNumberFormat="1" applyFont="1" applyFill="1"/>
    <xf numFmtId="9" fontId="2" fillId="2" borderId="7" xfId="0" applyNumberFormat="1" applyFont="1" applyFill="1" applyBorder="1"/>
    <xf numFmtId="9" fontId="0" fillId="0" borderId="0" xfId="0" applyNumberFormat="1"/>
    <xf numFmtId="0" fontId="0" fillId="0" borderId="7" xfId="0" applyBorder="1"/>
    <xf numFmtId="0" fontId="5" fillId="4" borderId="8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6" fillId="2" borderId="7" xfId="0" applyFont="1" applyFill="1" applyBorder="1" applyAlignment="1">
      <alignment horizontal="left"/>
    </xf>
    <xf numFmtId="0" fontId="7" fillId="4" borderId="8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0" fontId="2" fillId="0" borderId="0" xfId="0" applyFont="1"/>
    <xf numFmtId="9" fontId="2" fillId="0" borderId="0" xfId="0" applyNumberFormat="1" applyFont="1"/>
    <xf numFmtId="0" fontId="6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3" fillId="3" borderId="3" xfId="0" applyFont="1" applyFill="1" applyBorder="1" applyAlignment="1">
      <alignment horizontal="right"/>
    </xf>
    <xf numFmtId="0" fontId="3" fillId="3" borderId="7" xfId="0" applyFont="1" applyFill="1" applyBorder="1" applyAlignment="1">
      <alignment horizontal="right"/>
    </xf>
    <xf numFmtId="0" fontId="3" fillId="3" borderId="4" xfId="0" applyFont="1" applyFill="1" applyBorder="1" applyAlignment="1">
      <alignment horizontal="right"/>
    </xf>
    <xf numFmtId="0" fontId="3" fillId="0" borderId="0" xfId="0" applyFont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left"/>
    </xf>
    <xf numFmtId="0" fontId="11" fillId="3" borderId="8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0" fontId="2" fillId="6" borderId="11" xfId="0" applyFont="1" applyFill="1" applyBorder="1"/>
    <xf numFmtId="0" fontId="12" fillId="6" borderId="9" xfId="0" applyFont="1" applyFill="1" applyBorder="1" applyAlignment="1">
      <alignment horizontal="left"/>
    </xf>
    <xf numFmtId="0" fontId="12" fillId="6" borderId="10" xfId="0" applyFont="1" applyFill="1" applyBorder="1" applyAlignment="1">
      <alignment horizontal="left"/>
    </xf>
    <xf numFmtId="0" fontId="13" fillId="3" borderId="6" xfId="0" applyFont="1" applyFill="1" applyBorder="1" applyAlignment="1">
      <alignment horizontal="right" vertical="top"/>
    </xf>
    <xf numFmtId="9" fontId="13" fillId="3" borderId="6" xfId="0" applyNumberFormat="1" applyFont="1" applyFill="1" applyBorder="1" applyAlignment="1">
      <alignment horizontal="right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left"/>
    </xf>
    <xf numFmtId="9" fontId="12" fillId="6" borderId="10" xfId="0" applyNumberFormat="1" applyFont="1" applyFill="1" applyBorder="1" applyAlignment="1">
      <alignment horizontal="left"/>
    </xf>
    <xf numFmtId="0" fontId="13" fillId="3" borderId="6" xfId="0" applyFont="1" applyFill="1" applyBorder="1" applyAlignment="1">
      <alignment horizontal="right"/>
    </xf>
    <xf numFmtId="0" fontId="8" fillId="0" borderId="0" xfId="0" applyFont="1"/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6" xfId="0" applyBorder="1"/>
    <xf numFmtId="0" fontId="1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19" fillId="0" borderId="16" xfId="0" applyFont="1" applyBorder="1"/>
    <xf numFmtId="0" fontId="0" fillId="0" borderId="14" xfId="0" applyBorder="1"/>
    <xf numFmtId="0" fontId="14" fillId="0" borderId="0" xfId="0" applyFont="1" applyAlignment="1">
      <alignment horizontal="center"/>
    </xf>
    <xf numFmtId="0" fontId="0" fillId="0" borderId="3" xfId="0" applyBorder="1"/>
    <xf numFmtId="0" fontId="0" fillId="0" borderId="0" xfId="0" applyAlignment="1">
      <alignment horizontal="left" indent="1"/>
    </xf>
    <xf numFmtId="0" fontId="16" fillId="0" borderId="0" xfId="0" applyFont="1"/>
    <xf numFmtId="0" fontId="8" fillId="0" borderId="2" xfId="0" applyFont="1" applyBorder="1"/>
    <xf numFmtId="0" fontId="0" fillId="0" borderId="2" xfId="0" applyBorder="1" applyAlignment="1">
      <alignment horizontal="center" vertical="center"/>
    </xf>
    <xf numFmtId="2" fontId="8" fillId="0" borderId="2" xfId="0" applyNumberFormat="1" applyFont="1" applyBorder="1" applyAlignment="1">
      <alignment horizontal="left"/>
    </xf>
    <xf numFmtId="0" fontId="15" fillId="9" borderId="1" xfId="0" applyFont="1" applyFill="1" applyBorder="1" applyAlignment="1">
      <alignment vertical="center"/>
    </xf>
    <xf numFmtId="0" fontId="15" fillId="9" borderId="2" xfId="0" applyFont="1" applyFill="1" applyBorder="1" applyAlignment="1">
      <alignment vertical="center"/>
    </xf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7" xfId="0" applyFill="1" applyBorder="1"/>
    <xf numFmtId="0" fontId="0" fillId="9" borderId="4" xfId="0" applyFill="1" applyBorder="1"/>
    <xf numFmtId="0" fontId="2" fillId="2" borderId="13" xfId="0" applyFont="1" applyFill="1" applyBorder="1"/>
    <xf numFmtId="0" fontId="2" fillId="2" borderId="16" xfId="0" applyFont="1" applyFill="1" applyBorder="1"/>
    <xf numFmtId="0" fontId="2" fillId="2" borderId="14" xfId="0" applyFont="1" applyFill="1" applyBorder="1"/>
    <xf numFmtId="0" fontId="2" fillId="2" borderId="1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2" xfId="0" applyFont="1" applyFill="1" applyBorder="1" applyAlignment="1">
      <alignment horizontal="right"/>
    </xf>
    <xf numFmtId="0" fontId="6" fillId="2" borderId="0" xfId="0" applyFont="1" applyFill="1" applyAlignment="1">
      <alignment horizontal="left" vertical="top"/>
    </xf>
    <xf numFmtId="0" fontId="26" fillId="2" borderId="7" xfId="0" applyFont="1" applyFill="1" applyBorder="1"/>
    <xf numFmtId="0" fontId="26" fillId="2" borderId="4" xfId="0" applyFont="1" applyFill="1" applyBorder="1"/>
    <xf numFmtId="0" fontId="26" fillId="2" borderId="4" xfId="0" applyFont="1" applyFill="1" applyBorder="1" applyAlignment="1">
      <alignment horizontal="right"/>
    </xf>
    <xf numFmtId="0" fontId="27" fillId="3" borderId="5" xfId="0" applyFont="1" applyFill="1" applyBorder="1" applyAlignment="1">
      <alignment horizontal="right"/>
    </xf>
    <xf numFmtId="0" fontId="27" fillId="3" borderId="8" xfId="0" applyFont="1" applyFill="1" applyBorder="1" applyAlignment="1">
      <alignment horizontal="right"/>
    </xf>
    <xf numFmtId="0" fontId="27" fillId="3" borderId="6" xfId="0" applyFont="1" applyFill="1" applyBorder="1" applyAlignment="1">
      <alignment horizontal="right"/>
    </xf>
    <xf numFmtId="0" fontId="18" fillId="0" borderId="2" xfId="0" applyFont="1" applyBorder="1"/>
    <xf numFmtId="0" fontId="0" fillId="0" borderId="12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10" borderId="13" xfId="0" applyFill="1" applyBorder="1"/>
    <xf numFmtId="0" fontId="0" fillId="10" borderId="14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9" borderId="0" xfId="0" applyFill="1"/>
    <xf numFmtId="0" fontId="15" fillId="9" borderId="0" xfId="0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9" fontId="1" fillId="0" borderId="0" xfId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9" fontId="1" fillId="0" borderId="7" xfId="1" applyFont="1" applyFill="1" applyBorder="1" applyAlignment="1">
      <alignment horizontal="center" vertical="center"/>
    </xf>
    <xf numFmtId="0" fontId="8" fillId="0" borderId="17" xfId="0" applyFont="1" applyBorder="1"/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24" fillId="0" borderId="0" xfId="0" applyFont="1"/>
    <xf numFmtId="2" fontId="8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8" fillId="7" borderId="17" xfId="0" applyFont="1" applyFill="1" applyBorder="1"/>
    <xf numFmtId="0" fontId="17" fillId="7" borderId="17" xfId="0" applyFont="1" applyFill="1" applyBorder="1"/>
    <xf numFmtId="0" fontId="0" fillId="0" borderId="12" xfId="0" applyBorder="1" applyAlignment="1">
      <alignment horizontal="left" vertical="top"/>
    </xf>
    <xf numFmtId="0" fontId="0" fillId="0" borderId="0" xfId="0" applyAlignment="1">
      <alignment vertical="center"/>
    </xf>
    <xf numFmtId="0" fontId="8" fillId="0" borderId="24" xfId="0" applyFont="1" applyBorder="1"/>
    <xf numFmtId="0" fontId="0" fillId="0" borderId="25" xfId="0" applyBorder="1"/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32" fillId="7" borderId="13" xfId="0" applyFont="1" applyFill="1" applyBorder="1" applyAlignment="1">
      <alignment horizontal="center" vertical="center"/>
    </xf>
    <xf numFmtId="0" fontId="32" fillId="7" borderId="16" xfId="0" applyFont="1" applyFill="1" applyBorder="1" applyAlignment="1">
      <alignment horizontal="center" vertical="center"/>
    </xf>
    <xf numFmtId="0" fontId="32" fillId="7" borderId="14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32" fillId="7" borderId="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9" fillId="11" borderId="13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center"/>
    </xf>
    <xf numFmtId="0" fontId="8" fillId="5" borderId="11" xfId="0" applyFont="1" applyFill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/>
    </xf>
    <xf numFmtId="0" fontId="8" fillId="0" borderId="22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ercent" xfId="1" builtinId="5"/>
  </cellStyles>
  <dxfs count="28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-0.24994659260841701"/>
        </patternFill>
      </fill>
    </dxf>
    <dxf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66"/>
        </patternFill>
      </fill>
    </dxf>
    <dxf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9A535769-F715-4491-8843-43CD437A808A}"/>
  </tableStyles>
  <colors>
    <mruColors>
      <color rgb="FFFFCC00"/>
      <color rgb="FFFFCC66"/>
      <color rgb="FF073673"/>
      <color rgb="FFFFFFFF"/>
      <color rgb="FF800080"/>
      <color rgb="FFBCB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cms.fuic.fui.edu.pk:9083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7</xdr:row>
          <xdr:rowOff>60960</xdr:rowOff>
        </xdr:from>
        <xdr:to>
          <xdr:col>19</xdr:col>
          <xdr:colOff>342900</xdr:colOff>
          <xdr:row>11</xdr:row>
          <xdr:rowOff>137160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13</xdr:row>
          <xdr:rowOff>38100</xdr:rowOff>
        </xdr:from>
        <xdr:to>
          <xdr:col>15</xdr:col>
          <xdr:colOff>594360</xdr:colOff>
          <xdr:row>17</xdr:row>
          <xdr:rowOff>137160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nd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13</xdr:row>
          <xdr:rowOff>38100</xdr:rowOff>
        </xdr:from>
        <xdr:to>
          <xdr:col>11</xdr:col>
          <xdr:colOff>99060</xdr:colOff>
          <xdr:row>17</xdr:row>
          <xdr:rowOff>137160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19</xdr:row>
          <xdr:rowOff>114300</xdr:rowOff>
        </xdr:from>
        <xdr:to>
          <xdr:col>11</xdr:col>
          <xdr:colOff>99060</xdr:colOff>
          <xdr:row>24</xdr:row>
          <xdr:rowOff>22860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19</xdr:row>
          <xdr:rowOff>114300</xdr:rowOff>
        </xdr:from>
        <xdr:to>
          <xdr:col>15</xdr:col>
          <xdr:colOff>594360</xdr:colOff>
          <xdr:row>24</xdr:row>
          <xdr:rowOff>22860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13</xdr:row>
          <xdr:rowOff>22860</xdr:rowOff>
        </xdr:from>
        <xdr:to>
          <xdr:col>19</xdr:col>
          <xdr:colOff>358140</xdr:colOff>
          <xdr:row>17</xdr:row>
          <xdr:rowOff>137160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rd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19</xdr:row>
          <xdr:rowOff>129540</xdr:rowOff>
        </xdr:from>
        <xdr:to>
          <xdr:col>19</xdr:col>
          <xdr:colOff>358140</xdr:colOff>
          <xdr:row>24</xdr:row>
          <xdr:rowOff>38100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26</xdr:row>
          <xdr:rowOff>114300</xdr:rowOff>
        </xdr:from>
        <xdr:to>
          <xdr:col>11</xdr:col>
          <xdr:colOff>99060</xdr:colOff>
          <xdr:row>31</xdr:row>
          <xdr:rowOff>22860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33</xdr:row>
          <xdr:rowOff>129540</xdr:rowOff>
        </xdr:from>
        <xdr:to>
          <xdr:col>15</xdr:col>
          <xdr:colOff>594360</xdr:colOff>
          <xdr:row>38</xdr:row>
          <xdr:rowOff>38100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26</xdr:row>
          <xdr:rowOff>114300</xdr:rowOff>
        </xdr:from>
        <xdr:to>
          <xdr:col>19</xdr:col>
          <xdr:colOff>358140</xdr:colOff>
          <xdr:row>31</xdr:row>
          <xdr:rowOff>22860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CUMMULATIVE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33</xdr:row>
          <xdr:rowOff>129540</xdr:rowOff>
        </xdr:from>
        <xdr:to>
          <xdr:col>11</xdr:col>
          <xdr:colOff>99060</xdr:colOff>
          <xdr:row>38</xdr:row>
          <xdr:rowOff>38100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26</xdr:row>
          <xdr:rowOff>114300</xdr:rowOff>
        </xdr:from>
        <xdr:to>
          <xdr:col>15</xdr:col>
          <xdr:colOff>609600</xdr:colOff>
          <xdr:row>31</xdr:row>
          <xdr:rowOff>22860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8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33</xdr:row>
          <xdr:rowOff>114300</xdr:rowOff>
        </xdr:from>
        <xdr:to>
          <xdr:col>19</xdr:col>
          <xdr:colOff>358140</xdr:colOff>
          <xdr:row>38</xdr:row>
          <xdr:rowOff>22860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1424940</xdr:colOff>
          <xdr:row>2</xdr:row>
          <xdr:rowOff>99060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1424940</xdr:colOff>
          <xdr:row>4</xdr:row>
          <xdr:rowOff>175260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1424940</xdr:colOff>
          <xdr:row>2</xdr:row>
          <xdr:rowOff>175260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15240</xdr:rowOff>
        </xdr:from>
        <xdr:to>
          <xdr:col>2</xdr:col>
          <xdr:colOff>1424940</xdr:colOff>
          <xdr:row>4</xdr:row>
          <xdr:rowOff>175260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1310640</xdr:colOff>
          <xdr:row>2</xdr:row>
          <xdr:rowOff>175260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1310640</xdr:colOff>
          <xdr:row>4</xdr:row>
          <xdr:rowOff>175260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1280160</xdr:colOff>
          <xdr:row>2</xdr:row>
          <xdr:rowOff>175260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4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1280160</xdr:colOff>
          <xdr:row>4</xdr:row>
          <xdr:rowOff>175260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4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1272540</xdr:colOff>
          <xdr:row>2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1272540</xdr:colOff>
          <xdr:row>4</xdr:row>
          <xdr:rowOff>175260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15240</xdr:rowOff>
        </xdr:from>
        <xdr:to>
          <xdr:col>2</xdr:col>
          <xdr:colOff>1280160</xdr:colOff>
          <xdr:row>2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1280160</xdr:colOff>
          <xdr:row>4</xdr:row>
          <xdr:rowOff>175260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1318260</xdr:colOff>
          <xdr:row>2</xdr:row>
          <xdr:rowOff>175260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1318260</xdr:colOff>
          <xdr:row>4</xdr:row>
          <xdr:rowOff>175260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15240</xdr:rowOff>
        </xdr:from>
        <xdr:to>
          <xdr:col>2</xdr:col>
          <xdr:colOff>1318260</xdr:colOff>
          <xdr:row>2</xdr:row>
          <xdr:rowOff>175260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1318260</xdr:colOff>
          <xdr:row>5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</xdr:row>
          <xdr:rowOff>0</xdr:rowOff>
        </xdr:from>
        <xdr:to>
          <xdr:col>2</xdr:col>
          <xdr:colOff>1653540</xdr:colOff>
          <xdr:row>2</xdr:row>
          <xdr:rowOff>175260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0</xdr:rowOff>
        </xdr:from>
        <xdr:to>
          <xdr:col>2</xdr:col>
          <xdr:colOff>1653540</xdr:colOff>
          <xdr:row>4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351890</xdr:colOff>
      <xdr:row>4</xdr:row>
      <xdr:rowOff>116993</xdr:rowOff>
    </xdr:from>
    <xdr:to>
      <xdr:col>10</xdr:col>
      <xdr:colOff>29343</xdr:colOff>
      <xdr:row>9</xdr:row>
      <xdr:rowOff>17721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8893"/>
        <a:stretch/>
      </xdr:blipFill>
      <xdr:spPr>
        <a:xfrm>
          <a:off x="8298461" y="839409"/>
          <a:ext cx="1379583" cy="8111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13</xdr:row>
          <xdr:rowOff>99060</xdr:rowOff>
        </xdr:from>
        <xdr:to>
          <xdr:col>1</xdr:col>
          <xdr:colOff>289560</xdr:colOff>
          <xdr:row>14</xdr:row>
          <xdr:rowOff>167640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3rd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15</xdr:row>
          <xdr:rowOff>114300</xdr:rowOff>
        </xdr:from>
        <xdr:to>
          <xdr:col>1</xdr:col>
          <xdr:colOff>289560</xdr:colOff>
          <xdr:row>16</xdr:row>
          <xdr:rowOff>175260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137160</xdr:rowOff>
        </xdr:from>
        <xdr:to>
          <xdr:col>1</xdr:col>
          <xdr:colOff>289560</xdr:colOff>
          <xdr:row>19</xdr:row>
          <xdr:rowOff>22860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A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19</xdr:row>
          <xdr:rowOff>167640</xdr:rowOff>
        </xdr:from>
        <xdr:to>
          <xdr:col>1</xdr:col>
          <xdr:colOff>289560</xdr:colOff>
          <xdr:row>21</xdr:row>
          <xdr:rowOff>53340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A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6th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21</xdr:row>
          <xdr:rowOff>175260</xdr:rowOff>
        </xdr:from>
        <xdr:to>
          <xdr:col>1</xdr:col>
          <xdr:colOff>289560</xdr:colOff>
          <xdr:row>23</xdr:row>
          <xdr:rowOff>60960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A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24</xdr:row>
          <xdr:rowOff>15240</xdr:rowOff>
        </xdr:from>
        <xdr:to>
          <xdr:col>1</xdr:col>
          <xdr:colOff>289560</xdr:colOff>
          <xdr:row>25</xdr:row>
          <xdr:rowOff>76200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A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8th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11</xdr:row>
          <xdr:rowOff>60960</xdr:rowOff>
        </xdr:from>
        <xdr:to>
          <xdr:col>1</xdr:col>
          <xdr:colOff>289560</xdr:colOff>
          <xdr:row>12</xdr:row>
          <xdr:rowOff>137160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A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2nd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99060</xdr:rowOff>
        </xdr:from>
        <xdr:to>
          <xdr:col>1</xdr:col>
          <xdr:colOff>480060</xdr:colOff>
          <xdr:row>29</xdr:row>
          <xdr:rowOff>99060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A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Cummulative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9</xdr:row>
          <xdr:rowOff>38100</xdr:rowOff>
        </xdr:from>
        <xdr:to>
          <xdr:col>1</xdr:col>
          <xdr:colOff>289560</xdr:colOff>
          <xdr:row>10</xdr:row>
          <xdr:rowOff>99060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A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</xdr:row>
          <xdr:rowOff>99060</xdr:rowOff>
        </xdr:from>
        <xdr:to>
          <xdr:col>1</xdr:col>
          <xdr:colOff>289560</xdr:colOff>
          <xdr:row>8</xdr:row>
          <xdr:rowOff>99060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A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38</xdr:row>
          <xdr:rowOff>91440</xdr:rowOff>
        </xdr:from>
        <xdr:to>
          <xdr:col>1</xdr:col>
          <xdr:colOff>289560</xdr:colOff>
          <xdr:row>39</xdr:row>
          <xdr:rowOff>167640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A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30</xdr:row>
          <xdr:rowOff>60960</xdr:rowOff>
        </xdr:from>
        <xdr:to>
          <xdr:col>1</xdr:col>
          <xdr:colOff>289560</xdr:colOff>
          <xdr:row>33</xdr:row>
          <xdr:rowOff>60960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A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34</xdr:row>
          <xdr:rowOff>22860</xdr:rowOff>
        </xdr:from>
        <xdr:to>
          <xdr:col>1</xdr:col>
          <xdr:colOff>289560</xdr:colOff>
          <xdr:row>37</xdr:row>
          <xdr:rowOff>60960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A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40</xdr:row>
          <xdr:rowOff>137160</xdr:rowOff>
        </xdr:from>
        <xdr:to>
          <xdr:col>1</xdr:col>
          <xdr:colOff>289560</xdr:colOff>
          <xdr:row>43</xdr:row>
          <xdr:rowOff>129540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A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Automed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44</xdr:row>
          <xdr:rowOff>38100</xdr:rowOff>
        </xdr:from>
        <xdr:to>
          <xdr:col>1</xdr:col>
          <xdr:colOff>289560</xdr:colOff>
          <xdr:row>47</xdr:row>
          <xdr:rowOff>22860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A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74</xdr:row>
      <xdr:rowOff>0</xdr:rowOff>
    </xdr:from>
    <xdr:to>
      <xdr:col>20</xdr:col>
      <xdr:colOff>543246</xdr:colOff>
      <xdr:row>110</xdr:row>
      <xdr:rowOff>102199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5BDEF7-9AEE-5F5C-EF92-9F4D1BA28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4091" y="13692909"/>
          <a:ext cx="8971428" cy="67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H1:V40"/>
  <sheetViews>
    <sheetView showGridLines="0" zoomScale="72" zoomScaleNormal="83" workbookViewId="0">
      <selection activeCell="D13" sqref="D13"/>
    </sheetView>
  </sheetViews>
  <sheetFormatPr defaultColWidth="8.77734375" defaultRowHeight="14.4" x14ac:dyDescent="0.3"/>
  <cols>
    <col min="16" max="16" width="17.33203125" customWidth="1"/>
  </cols>
  <sheetData>
    <row r="1" spans="8:22" ht="15" thickBot="1" x14ac:dyDescent="0.35"/>
    <row r="2" spans="8:22" x14ac:dyDescent="0.3">
      <c r="H2" s="142" t="s">
        <v>85</v>
      </c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4"/>
    </row>
    <row r="3" spans="8:22" ht="14.55" customHeight="1" x14ac:dyDescent="0.3">
      <c r="H3" s="145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7"/>
      <c r="V3" s="51"/>
    </row>
    <row r="4" spans="8:22" ht="14.55" customHeight="1" x14ac:dyDescent="0.3">
      <c r="H4" s="145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7"/>
      <c r="V4" s="51"/>
    </row>
    <row r="5" spans="8:22" ht="14.55" customHeight="1" x14ac:dyDescent="0.3">
      <c r="H5" s="145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7"/>
      <c r="V5" s="51"/>
    </row>
    <row r="6" spans="8:22" ht="14.55" customHeight="1" x14ac:dyDescent="0.3">
      <c r="H6" s="64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65"/>
      <c r="V6" s="51"/>
    </row>
    <row r="7" spans="8:22" ht="14.55" customHeight="1" x14ac:dyDescent="0.3">
      <c r="H7" s="64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65"/>
      <c r="V7" s="51"/>
    </row>
    <row r="8" spans="8:22" ht="15" customHeight="1" x14ac:dyDescent="0.3">
      <c r="H8" s="64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65"/>
      <c r="V8" s="51"/>
    </row>
    <row r="9" spans="8:22" x14ac:dyDescent="0.3">
      <c r="H9" s="6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67"/>
    </row>
    <row r="10" spans="8:22" x14ac:dyDescent="0.3">
      <c r="H10" s="6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67"/>
    </row>
    <row r="11" spans="8:22" x14ac:dyDescent="0.3">
      <c r="H11" s="6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67"/>
    </row>
    <row r="12" spans="8:22" x14ac:dyDescent="0.3">
      <c r="H12" s="6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67"/>
    </row>
    <row r="13" spans="8:22" x14ac:dyDescent="0.3">
      <c r="H13" s="6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67"/>
    </row>
    <row r="14" spans="8:22" x14ac:dyDescent="0.3">
      <c r="H14" s="6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67"/>
    </row>
    <row r="15" spans="8:22" x14ac:dyDescent="0.3">
      <c r="H15" s="6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67"/>
    </row>
    <row r="16" spans="8:22" x14ac:dyDescent="0.3">
      <c r="H16" s="6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67"/>
    </row>
    <row r="17" spans="8:21" x14ac:dyDescent="0.3">
      <c r="H17" s="6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67"/>
    </row>
    <row r="18" spans="8:21" x14ac:dyDescent="0.3">
      <c r="H18" s="6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67"/>
    </row>
    <row r="19" spans="8:21" x14ac:dyDescent="0.3">
      <c r="H19" s="6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67"/>
    </row>
    <row r="20" spans="8:21" x14ac:dyDescent="0.3">
      <c r="H20" s="6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67"/>
    </row>
    <row r="21" spans="8:21" x14ac:dyDescent="0.3">
      <c r="H21" s="6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67"/>
    </row>
    <row r="22" spans="8:21" x14ac:dyDescent="0.3">
      <c r="H22" s="6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67"/>
    </row>
    <row r="23" spans="8:21" x14ac:dyDescent="0.3">
      <c r="H23" s="6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67"/>
    </row>
    <row r="24" spans="8:21" x14ac:dyDescent="0.3">
      <c r="H24" s="6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67"/>
    </row>
    <row r="25" spans="8:21" x14ac:dyDescent="0.3">
      <c r="H25" s="6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67"/>
    </row>
    <row r="26" spans="8:21" x14ac:dyDescent="0.3">
      <c r="H26" s="6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67"/>
    </row>
    <row r="27" spans="8:21" x14ac:dyDescent="0.3">
      <c r="H27" s="6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67"/>
    </row>
    <row r="28" spans="8:21" x14ac:dyDescent="0.3">
      <c r="H28" s="6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67"/>
    </row>
    <row r="29" spans="8:21" x14ac:dyDescent="0.3">
      <c r="H29" s="6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67"/>
    </row>
    <row r="30" spans="8:21" x14ac:dyDescent="0.3">
      <c r="H30" s="6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67"/>
    </row>
    <row r="31" spans="8:21" x14ac:dyDescent="0.3">
      <c r="H31" s="6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67"/>
    </row>
    <row r="32" spans="8:21" x14ac:dyDescent="0.3">
      <c r="H32" s="6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67"/>
    </row>
    <row r="33" spans="8:21" x14ac:dyDescent="0.3">
      <c r="H33" s="6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67"/>
    </row>
    <row r="34" spans="8:21" x14ac:dyDescent="0.3">
      <c r="H34" s="6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67"/>
    </row>
    <row r="35" spans="8:21" x14ac:dyDescent="0.3">
      <c r="H35" s="6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67"/>
    </row>
    <row r="36" spans="8:21" x14ac:dyDescent="0.3">
      <c r="H36" s="6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67"/>
    </row>
    <row r="37" spans="8:21" x14ac:dyDescent="0.3">
      <c r="H37" s="6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67"/>
    </row>
    <row r="38" spans="8:21" x14ac:dyDescent="0.3">
      <c r="H38" s="6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67"/>
    </row>
    <row r="39" spans="8:21" x14ac:dyDescent="0.3">
      <c r="H39" s="6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67"/>
    </row>
    <row r="40" spans="8:21" ht="15" thickBot="1" x14ac:dyDescent="0.35">
      <c r="H40" s="68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70"/>
    </row>
  </sheetData>
  <mergeCells count="1">
    <mergeCell ref="H2:U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Introduction">
                <anchor moveWithCells="1" sizeWithCells="1">
                  <from>
                    <xdr:col>8</xdr:col>
                    <xdr:colOff>15240</xdr:colOff>
                    <xdr:row>7</xdr:row>
                    <xdr:rowOff>60960</xdr:rowOff>
                  </from>
                  <to>
                    <xdr:col>19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B">
                <anchor moveWithCells="1" sizeWithCells="1">
                  <from>
                    <xdr:col>12</xdr:col>
                    <xdr:colOff>495300</xdr:colOff>
                    <xdr:row>13</xdr:row>
                    <xdr:rowOff>38100</xdr:rowOff>
                  </from>
                  <to>
                    <xdr:col>15</xdr:col>
                    <xdr:colOff>594360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A">
                <anchor moveWithCells="1" sizeWithCells="1">
                  <from>
                    <xdr:col>8</xdr:col>
                    <xdr:colOff>15240</xdr:colOff>
                    <xdr:row>13</xdr:row>
                    <xdr:rowOff>38100</xdr:rowOff>
                  </from>
                  <to>
                    <xdr:col>11</xdr:col>
                    <xdr:colOff>99060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" name="Button 38">
              <controlPr defaultSize="0" print="0" autoFill="0" autoPict="0" macro="[0]!Macro4">
                <anchor moveWithCells="1" sizeWithCells="1">
                  <from>
                    <xdr:col>8</xdr:col>
                    <xdr:colOff>15240</xdr:colOff>
                    <xdr:row>19</xdr:row>
                    <xdr:rowOff>114300</xdr:rowOff>
                  </from>
                  <to>
                    <xdr:col>11</xdr:col>
                    <xdr:colOff>99060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8" name="Button 39">
              <controlPr defaultSize="0" print="0" autoFill="0" autoPict="0" macro="[0]!Macro5">
                <anchor moveWithCells="1" sizeWithCells="1">
                  <from>
                    <xdr:col>12</xdr:col>
                    <xdr:colOff>495300</xdr:colOff>
                    <xdr:row>19</xdr:row>
                    <xdr:rowOff>114300</xdr:rowOff>
                  </from>
                  <to>
                    <xdr:col>15</xdr:col>
                    <xdr:colOff>594360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Macro3">
                <anchor moveWithCells="1" sizeWithCells="1">
                  <from>
                    <xdr:col>16</xdr:col>
                    <xdr:colOff>251460</xdr:colOff>
                    <xdr:row>13</xdr:row>
                    <xdr:rowOff>22860</xdr:rowOff>
                  </from>
                  <to>
                    <xdr:col>19</xdr:col>
                    <xdr:colOff>358140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Macro6">
                <anchor moveWithCells="1" sizeWithCells="1">
                  <from>
                    <xdr:col>16</xdr:col>
                    <xdr:colOff>251460</xdr:colOff>
                    <xdr:row>19</xdr:row>
                    <xdr:rowOff>129540</xdr:rowOff>
                  </from>
                  <to>
                    <xdr:col>19</xdr:col>
                    <xdr:colOff>358140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1" name="Button 56">
              <controlPr defaultSize="0" print="0" autoFill="0" autoPict="0" macro="[0]!Macro7">
                <anchor moveWithCells="1" sizeWithCells="1">
                  <from>
                    <xdr:col>8</xdr:col>
                    <xdr:colOff>15240</xdr:colOff>
                    <xdr:row>26</xdr:row>
                    <xdr:rowOff>114300</xdr:rowOff>
                  </from>
                  <to>
                    <xdr:col>11</xdr:col>
                    <xdr:colOff>99060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2" name="Button 57">
              <controlPr defaultSize="0" print="0" autoFill="0" autoPict="0" macro="[0]!SaveandContinue">
                <anchor moveWithCells="1" sizeWithCells="1">
                  <from>
                    <xdr:col>12</xdr:col>
                    <xdr:colOff>495300</xdr:colOff>
                    <xdr:row>33</xdr:row>
                    <xdr:rowOff>129540</xdr:rowOff>
                  </from>
                  <to>
                    <xdr:col>15</xdr:col>
                    <xdr:colOff>594360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3" name="Button 58">
              <controlPr defaultSize="0" print="0" autoFill="0" autoPict="0" macro="[0]!CopyMacro9">
                <anchor moveWithCells="1" sizeWithCells="1">
                  <from>
                    <xdr:col>16</xdr:col>
                    <xdr:colOff>251460</xdr:colOff>
                    <xdr:row>26</xdr:row>
                    <xdr:rowOff>114300</xdr:rowOff>
                  </from>
                  <to>
                    <xdr:col>19</xdr:col>
                    <xdr:colOff>358140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4" name="Button 59">
              <controlPr defaultSize="0" print="0" autoFill="0" autoPict="0" macro="[0]!Macro10">
                <anchor moveWithCells="1" sizeWithCells="1">
                  <from>
                    <xdr:col>8</xdr:col>
                    <xdr:colOff>15240</xdr:colOff>
                    <xdr:row>33</xdr:row>
                    <xdr:rowOff>129540</xdr:rowOff>
                  </from>
                  <to>
                    <xdr:col>11</xdr:col>
                    <xdr:colOff>99060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5" name="Button 61">
              <controlPr defaultSize="0" print="0" autoFill="0" autoPict="0" macro="[0]!Macro8">
                <anchor moveWithCells="1" sizeWithCells="1">
                  <from>
                    <xdr:col>12</xdr:col>
                    <xdr:colOff>518160</xdr:colOff>
                    <xdr:row>26</xdr:row>
                    <xdr:rowOff>114300</xdr:rowOff>
                  </from>
                  <to>
                    <xdr:col>15</xdr:col>
                    <xdr:colOff>609600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6" name="Button 62">
              <controlPr defaultSize="0" print="0" autoFill="0" autoPict="0" macro="[0]!Save_Quit">
                <anchor moveWithCells="1" sizeWithCells="1">
                  <from>
                    <xdr:col>16</xdr:col>
                    <xdr:colOff>251460</xdr:colOff>
                    <xdr:row>33</xdr:row>
                    <xdr:rowOff>114300</xdr:rowOff>
                  </from>
                  <to>
                    <xdr:col>19</xdr:col>
                    <xdr:colOff>358140</xdr:colOff>
                    <xdr:row>38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Q31"/>
  <sheetViews>
    <sheetView workbookViewId="0">
      <selection activeCell="C12" sqref="C12"/>
    </sheetView>
  </sheetViews>
  <sheetFormatPr defaultColWidth="8.77734375" defaultRowHeight="14.4" x14ac:dyDescent="0.3"/>
  <cols>
    <col min="2" max="2" width="6" customWidth="1"/>
    <col min="3" max="3" width="20.77734375" customWidth="1"/>
    <col min="4" max="6" width="7.6640625" bestFit="1" customWidth="1"/>
    <col min="7" max="7" width="8" bestFit="1" customWidth="1"/>
    <col min="8" max="8" width="10.33203125" customWidth="1"/>
    <col min="9" max="9" width="14.77734375" customWidth="1"/>
    <col min="10" max="10" width="8.77734375" customWidth="1"/>
    <col min="11" max="11" width="9.6640625" customWidth="1"/>
    <col min="12" max="13" width="7.6640625" bestFit="1" customWidth="1"/>
    <col min="14" max="14" width="7.33203125" bestFit="1" customWidth="1"/>
    <col min="15" max="15" width="9.77734375" bestFit="1" customWidth="1"/>
    <col min="16" max="16" width="5.6640625" bestFit="1" customWidth="1"/>
    <col min="17" max="17" width="6.6640625" customWidth="1"/>
    <col min="18" max="19" width="7.6640625" bestFit="1" customWidth="1"/>
    <col min="20" max="20" width="8.33203125" customWidth="1"/>
    <col min="21" max="21" width="8.77734375" bestFit="1" customWidth="1"/>
    <col min="22" max="22" width="8.4414062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13.10937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8.332031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33203125" customWidth="1"/>
    <col min="40" max="40" width="5.33203125" customWidth="1"/>
    <col min="41" max="41" width="9.77734375" customWidth="1"/>
    <col min="42" max="42" width="13.6640625" customWidth="1"/>
  </cols>
  <sheetData>
    <row r="1" spans="2:43" ht="15" thickBot="1" x14ac:dyDescent="0.35"/>
    <row r="2" spans="2:43" ht="21" x14ac:dyDescent="0.4">
      <c r="B2" s="49"/>
      <c r="C2" s="56"/>
      <c r="H2" s="53"/>
      <c r="I2" s="53"/>
      <c r="J2" s="53"/>
      <c r="K2" s="53"/>
      <c r="L2" s="53"/>
      <c r="M2" s="53"/>
    </row>
    <row r="3" spans="2:43" ht="8.5500000000000007" customHeight="1" thickBot="1" x14ac:dyDescent="0.35">
      <c r="B3" s="58"/>
      <c r="C3" s="23"/>
    </row>
    <row r="4" spans="2:43" x14ac:dyDescent="0.3">
      <c r="B4" s="49"/>
      <c r="C4" s="23"/>
      <c r="H4" s="47"/>
    </row>
    <row r="5" spans="2:43" ht="15" thickBot="1" x14ac:dyDescent="0.35">
      <c r="B5" s="58"/>
      <c r="C5" s="87"/>
      <c r="H5" s="47"/>
    </row>
    <row r="6" spans="2:43" ht="15" customHeight="1" thickBot="1" x14ac:dyDescent="0.35">
      <c r="K6" s="21"/>
    </row>
    <row r="7" spans="2:43" ht="15" thickBot="1" x14ac:dyDescent="0.35">
      <c r="B7" s="148" t="s">
        <v>25</v>
      </c>
      <c r="C7" s="149"/>
    </row>
    <row r="8" spans="2:43" ht="15" customHeight="1" thickBot="1" x14ac:dyDescent="0.35">
      <c r="B8" s="150"/>
      <c r="C8" s="151"/>
      <c r="D8" s="152" t="s">
        <v>170</v>
      </c>
      <c r="E8" s="153"/>
      <c r="F8" s="153"/>
      <c r="G8" s="153"/>
      <c r="H8" s="153"/>
      <c r="I8" s="153"/>
      <c r="J8" s="154"/>
      <c r="K8" s="152" t="s">
        <v>171</v>
      </c>
      <c r="L8" s="153"/>
      <c r="M8" s="153"/>
      <c r="N8" s="153"/>
      <c r="O8" s="153"/>
      <c r="P8" s="153"/>
      <c r="Q8" s="154"/>
      <c r="R8" s="152" t="s">
        <v>172</v>
      </c>
      <c r="S8" s="153"/>
      <c r="T8" s="153"/>
      <c r="U8" s="153"/>
      <c r="V8" s="153"/>
      <c r="W8" s="153"/>
      <c r="X8" s="154"/>
      <c r="Y8" s="152" t="s">
        <v>29</v>
      </c>
      <c r="Z8" s="153"/>
      <c r="AA8" s="153"/>
      <c r="AB8" s="153"/>
      <c r="AC8" s="153"/>
      <c r="AD8" s="153"/>
      <c r="AE8" s="154"/>
      <c r="AF8" s="152" t="s">
        <v>30</v>
      </c>
      <c r="AG8" s="153"/>
      <c r="AH8" s="153"/>
      <c r="AI8" s="153"/>
      <c r="AJ8" s="153"/>
      <c r="AK8" s="153"/>
      <c r="AL8" s="154"/>
      <c r="AP8" s="9"/>
    </row>
    <row r="9" spans="2:43" ht="15.6" x14ac:dyDescent="0.3">
      <c r="B9" s="10" t="s">
        <v>8</v>
      </c>
      <c r="C9" s="10" t="s">
        <v>7</v>
      </c>
      <c r="D9" s="108" t="s">
        <v>9</v>
      </c>
      <c r="E9" s="108" t="s">
        <v>10</v>
      </c>
      <c r="F9" s="108" t="s">
        <v>11</v>
      </c>
      <c r="G9" s="101" t="s">
        <v>16</v>
      </c>
      <c r="H9" s="109" t="s">
        <v>1</v>
      </c>
      <c r="I9" s="101" t="s">
        <v>0</v>
      </c>
      <c r="J9" s="101" t="s">
        <v>12</v>
      </c>
      <c r="K9" s="108" t="s">
        <v>9</v>
      </c>
      <c r="L9" s="108" t="s">
        <v>10</v>
      </c>
      <c r="M9" s="108" t="s">
        <v>11</v>
      </c>
      <c r="N9" s="101" t="s">
        <v>16</v>
      </c>
      <c r="O9" s="101" t="s">
        <v>1</v>
      </c>
      <c r="P9" s="101" t="s">
        <v>0</v>
      </c>
      <c r="Q9" s="101" t="s">
        <v>12</v>
      </c>
      <c r="R9" s="108" t="s">
        <v>9</v>
      </c>
      <c r="S9" s="108" t="s">
        <v>10</v>
      </c>
      <c r="T9" s="108" t="s">
        <v>11</v>
      </c>
      <c r="U9" s="101" t="s">
        <v>16</v>
      </c>
      <c r="V9" s="101" t="s">
        <v>1</v>
      </c>
      <c r="W9" s="101" t="s">
        <v>0</v>
      </c>
      <c r="X9" s="101" t="s">
        <v>12</v>
      </c>
      <c r="Y9" s="108"/>
      <c r="Z9" s="108" t="s">
        <v>10</v>
      </c>
      <c r="AA9" s="108" t="s">
        <v>11</v>
      </c>
      <c r="AB9" s="101" t="s">
        <v>16</v>
      </c>
      <c r="AC9" s="101" t="s">
        <v>1</v>
      </c>
      <c r="AD9" s="101" t="s">
        <v>0</v>
      </c>
      <c r="AE9" s="101" t="s">
        <v>12</v>
      </c>
      <c r="AF9" s="108" t="s">
        <v>9</v>
      </c>
      <c r="AG9" s="108" t="s">
        <v>10</v>
      </c>
      <c r="AH9" s="108" t="s">
        <v>11</v>
      </c>
      <c r="AI9" s="101" t="s">
        <v>16</v>
      </c>
      <c r="AJ9" s="101" t="s">
        <v>1</v>
      </c>
      <c r="AK9" s="101" t="s">
        <v>0</v>
      </c>
      <c r="AL9" s="101" t="s">
        <v>12</v>
      </c>
      <c r="AM9" s="102" t="s">
        <v>15</v>
      </c>
      <c r="AN9" s="102" t="s">
        <v>13</v>
      </c>
      <c r="AO9" s="102" t="s">
        <v>14</v>
      </c>
      <c r="AP9" s="103" t="s">
        <v>84</v>
      </c>
      <c r="AQ9" s="103" t="s">
        <v>105</v>
      </c>
    </row>
    <row r="10" spans="2:43" x14ac:dyDescent="0.3">
      <c r="B10" s="11">
        <v>1</v>
      </c>
      <c r="C10" s="11" t="s">
        <v>211</v>
      </c>
      <c r="D10" s="48">
        <v>23</v>
      </c>
      <c r="E10" s="48">
        <v>21</v>
      </c>
      <c r="F10" s="48">
        <v>42</v>
      </c>
      <c r="G10" s="48">
        <f t="shared" ref="G10:G19" si="0">SUM(D10:F10)</f>
        <v>86</v>
      </c>
      <c r="H10" s="110">
        <f t="shared" ref="H10:H19" si="1">G10/100</f>
        <v>0.86</v>
      </c>
      <c r="I10" s="48" t="str">
        <f>LOOKUP(H10,$I$24:$I$28,$N$24:$N$28)</f>
        <v>A</v>
      </c>
      <c r="J10" s="111" t="str">
        <f t="shared" ref="J10:J19" si="2">IF(G10&gt;=80,"4",IF(G10&gt;=70,"3",IF(G10&gt;=60,"2",IF(G10&gt;=50,"1",IF(G10&lt;50,"0")))))</f>
        <v>4</v>
      </c>
      <c r="K10" s="48">
        <v>22</v>
      </c>
      <c r="L10" s="48">
        <v>23</v>
      </c>
      <c r="M10" s="48">
        <v>43</v>
      </c>
      <c r="N10" s="48">
        <f t="shared" ref="N10:N18" si="3">SUM(K10:M10)</f>
        <v>88</v>
      </c>
      <c r="O10" s="104">
        <f>N10/100</f>
        <v>0.88</v>
      </c>
      <c r="P10" s="48" t="str">
        <f t="shared" ref="P10:P19" si="4">LOOKUP(O10,$I$24:$I$28,$N$24:$N$28)</f>
        <v>A</v>
      </c>
      <c r="Q10" s="48" t="str">
        <f>IF(N10&gt;=80,"4",IF(N10&gt;=70,"3",IF(N10&gt;=60,"2",IF(N10&gt;=50,"1",IF(N10&lt;50,"0")))))</f>
        <v>4</v>
      </c>
      <c r="R10" s="48">
        <v>21</v>
      </c>
      <c r="S10" s="48">
        <v>22</v>
      </c>
      <c r="T10" s="48">
        <v>45</v>
      </c>
      <c r="U10" s="48">
        <f t="shared" ref="U10:U18" si="5">SUM(R10:T10)</f>
        <v>88</v>
      </c>
      <c r="V10" s="104">
        <f>U10/100</f>
        <v>0.88</v>
      </c>
      <c r="W10" s="48" t="str">
        <f>LOOKUP(V10,$I$24:$I$28,$N$24:$N$28)</f>
        <v>A</v>
      </c>
      <c r="X10" s="48" t="str">
        <f>IF(U10&gt;=80,"4",IF(U10&gt;=70,"3",IF(U10&gt;=60,"2",IF(U10&gt;=50,"1",IF(U10&lt;50,"0")))))</f>
        <v>4</v>
      </c>
      <c r="Y10" s="48">
        <v>22</v>
      </c>
      <c r="Z10" s="48">
        <v>20</v>
      </c>
      <c r="AA10" s="48">
        <v>42</v>
      </c>
      <c r="AB10" s="48">
        <f t="shared" ref="AB10:AB19" si="6">SUM(Y10:AA10)</f>
        <v>84</v>
      </c>
      <c r="AC10" s="104">
        <f>AB10/100</f>
        <v>0.84</v>
      </c>
      <c r="AD10" s="48" t="str">
        <f>LOOKUP(AC10,$I$24:$I$28,$N$24:$N$28)</f>
        <v>A</v>
      </c>
      <c r="AE10" s="111" t="str">
        <f>IF(AB10&gt;=80,"4",IF(AB10&gt;=70,"3",IF(AB10&gt;=60,"2",IF(AB10&gt;=50,"1",IF(AB10&lt;50,"0")))))</f>
        <v>4</v>
      </c>
      <c r="AF10" s="48">
        <v>19</v>
      </c>
      <c r="AG10" s="48">
        <v>20</v>
      </c>
      <c r="AH10" s="48">
        <v>46</v>
      </c>
      <c r="AI10" s="48">
        <f t="shared" ref="AI10:AI19" si="7">SUM(AF10:AH10)</f>
        <v>85</v>
      </c>
      <c r="AJ10" s="104">
        <f>AI10/100</f>
        <v>0.85</v>
      </c>
      <c r="AK10" s="48" t="str">
        <f>LOOKUP(AJ10,$I$24:$I$28,$N$24:$N$28)</f>
        <v>A</v>
      </c>
      <c r="AL10" s="48" t="str">
        <f>IF(AI10&gt;=80,"4",IF(AI10&gt;=70,"3",IF(AI10&gt;=60,"2",IF(AI10&gt;=50,"1",IF(AI10&lt;50,"0")))))</f>
        <v>4</v>
      </c>
      <c r="AM10" s="48">
        <f t="shared" ref="AM10:AM19" si="8">J10*$V$23+Q10*$V$24+X10*$V$25+AE10*$V$26+AL10*$V$27</f>
        <v>56</v>
      </c>
      <c r="AN10" s="48">
        <f>AM10/$K$22</f>
        <v>4</v>
      </c>
      <c r="AO10" s="48">
        <f>AN10</f>
        <v>4</v>
      </c>
      <c r="AP10" s="48">
        <f>ROUNDUP(AO10,2)</f>
        <v>4</v>
      </c>
      <c r="AQ10" s="48" t="str">
        <f>IF(LARGE($AN$10:$AN$19,1)=AN10,"First",IF(LARGE($AN$10:$AN$19,2)=AN10,"Second",IF(LARGE($AN$10:$AN$19,3)=AN10,"Third","")))</f>
        <v>First</v>
      </c>
    </row>
    <row r="11" spans="2:43" x14ac:dyDescent="0.3">
      <c r="B11" s="11">
        <v>2</v>
      </c>
      <c r="C11" s="11" t="s">
        <v>210</v>
      </c>
      <c r="D11" s="48">
        <v>12</v>
      </c>
      <c r="E11" s="48">
        <v>16</v>
      </c>
      <c r="F11" s="48">
        <v>27</v>
      </c>
      <c r="G11" s="48">
        <f t="shared" si="0"/>
        <v>55</v>
      </c>
      <c r="H11" s="110">
        <f t="shared" si="1"/>
        <v>0.55000000000000004</v>
      </c>
      <c r="I11" s="48" t="str">
        <f t="shared" ref="I11:I19" si="9">LOOKUP(H11,$I$24:$I$28,$N$24:$N$28)</f>
        <v>D</v>
      </c>
      <c r="J11" s="48" t="str">
        <f t="shared" si="2"/>
        <v>1</v>
      </c>
      <c r="K11" s="48">
        <v>21</v>
      </c>
      <c r="L11" s="48">
        <v>17</v>
      </c>
      <c r="M11" s="48">
        <v>42</v>
      </c>
      <c r="N11" s="48">
        <f t="shared" si="3"/>
        <v>80</v>
      </c>
      <c r="O11" s="104">
        <f t="shared" ref="O11:O19" si="10">N11/100</f>
        <v>0.8</v>
      </c>
      <c r="P11" s="48" t="str">
        <f t="shared" si="4"/>
        <v>A</v>
      </c>
      <c r="Q11" s="48" t="str">
        <f t="shared" ref="Q11:Q19" si="11">IF(N11&gt;=80,"4",IF(N11&gt;=70,"3",IF(N11&gt;=60,"2",IF(N11&gt;=50,"1",IF(N11&lt;50,"0")))))</f>
        <v>4</v>
      </c>
      <c r="R11" s="48">
        <v>15</v>
      </c>
      <c r="S11" s="48">
        <v>18</v>
      </c>
      <c r="T11" s="48">
        <v>37</v>
      </c>
      <c r="U11" s="48">
        <f t="shared" si="5"/>
        <v>70</v>
      </c>
      <c r="V11" s="104">
        <f t="shared" ref="V11:V19" si="12">U11/100</f>
        <v>0.7</v>
      </c>
      <c r="W11" s="48" t="str">
        <f t="shared" ref="W11:W19" si="13">LOOKUP(V11,$I$24:$I$28,$N$24:$N$28)</f>
        <v>B</v>
      </c>
      <c r="X11" s="48" t="str">
        <f t="shared" ref="X11:X19" si="14">IF(U11&gt;=80,"4",IF(U11&gt;=70,"3",IF(U11&gt;=60,"2",IF(U11&gt;=50,"1",IF(U11&lt;50,"0")))))</f>
        <v>3</v>
      </c>
      <c r="Y11" s="48">
        <v>16</v>
      </c>
      <c r="Z11" s="48">
        <v>9</v>
      </c>
      <c r="AA11" s="48">
        <v>44</v>
      </c>
      <c r="AB11" s="48">
        <f t="shared" si="6"/>
        <v>69</v>
      </c>
      <c r="AC11" s="104">
        <f t="shared" ref="AC11:AC19" si="15">AB11/100</f>
        <v>0.69</v>
      </c>
      <c r="AD11" s="48" t="str">
        <f t="shared" ref="AD11:AD19" si="16">LOOKUP(AC11,$I$24:$I$28,$N$24:$N$28)</f>
        <v>C</v>
      </c>
      <c r="AE11" s="48" t="str">
        <f t="shared" ref="AE11:AE19" si="17">IF(AB11&gt;=80,"4",IF(AB11&gt;=70,"3",IF(AB11&gt;=60,"2",IF(AB11&gt;=50,"1",IF(AB11&lt;50,"0")))))</f>
        <v>2</v>
      </c>
      <c r="AF11" s="48">
        <v>19</v>
      </c>
      <c r="AG11" s="48">
        <v>23</v>
      </c>
      <c r="AH11" s="48">
        <v>42</v>
      </c>
      <c r="AI11" s="48">
        <f t="shared" si="7"/>
        <v>84</v>
      </c>
      <c r="AJ11" s="104">
        <f t="shared" ref="AJ11:AJ19" si="18">AI11/100</f>
        <v>0.84</v>
      </c>
      <c r="AK11" s="48" t="str">
        <f t="shared" ref="AK11:AK19" si="19">LOOKUP(AJ11,$I$24:$I$28,$N$24:$N$28)</f>
        <v>A</v>
      </c>
      <c r="AL11" s="48" t="str">
        <f t="shared" ref="AL11:AL19" si="20">IF(AI11&gt;=80,"4",IF(AI11&gt;=70,"3",IF(AI11&gt;=60,"2",IF(AI11&gt;=50,"1",IF(AI11&lt;50,"0")))))</f>
        <v>4</v>
      </c>
      <c r="AM11" s="48">
        <f t="shared" si="8"/>
        <v>40</v>
      </c>
      <c r="AN11" s="48">
        <f t="shared" ref="AN11:AN19" si="21">AM11/$K$22</f>
        <v>2.8571428571428572</v>
      </c>
      <c r="AO11" s="48">
        <f t="shared" ref="AO11:AO19" si="22">AN11</f>
        <v>2.8571428571428572</v>
      </c>
      <c r="AP11" s="48">
        <f t="shared" ref="AP11:AP19" si="23">ROUNDUP(AO11,2)</f>
        <v>2.86</v>
      </c>
      <c r="AQ11" s="48" t="str">
        <f t="shared" ref="AQ11:AQ19" si="24">IF(LARGE($AN$10:$AN$19,1)=AN11,"First",IF(LARGE($AN$10:$AN$19,2)=AN11,"Second",IF(LARGE($AN$10:$AN$19,3)=AN11,"Third","")))</f>
        <v/>
      </c>
    </row>
    <row r="12" spans="2:43" x14ac:dyDescent="0.3">
      <c r="B12" s="11">
        <v>3</v>
      </c>
      <c r="C12" s="11" t="s">
        <v>215</v>
      </c>
      <c r="D12" s="48">
        <v>18</v>
      </c>
      <c r="E12" s="48">
        <v>17</v>
      </c>
      <c r="F12" s="48">
        <v>35</v>
      </c>
      <c r="G12" s="48">
        <f t="shared" si="0"/>
        <v>70</v>
      </c>
      <c r="H12" s="110">
        <f t="shared" si="1"/>
        <v>0.7</v>
      </c>
      <c r="I12" s="48" t="str">
        <f t="shared" si="9"/>
        <v>B</v>
      </c>
      <c r="J12" s="48" t="str">
        <f t="shared" si="2"/>
        <v>3</v>
      </c>
      <c r="K12" s="48">
        <v>23</v>
      </c>
      <c r="L12" s="48">
        <v>17</v>
      </c>
      <c r="M12" s="48">
        <v>36</v>
      </c>
      <c r="N12" s="48">
        <f t="shared" si="3"/>
        <v>76</v>
      </c>
      <c r="O12" s="104">
        <f>N12/100</f>
        <v>0.76</v>
      </c>
      <c r="P12" s="48" t="str">
        <f t="shared" si="4"/>
        <v>B</v>
      </c>
      <c r="Q12" s="48" t="str">
        <f t="shared" si="11"/>
        <v>3</v>
      </c>
      <c r="R12" s="48">
        <v>11</v>
      </c>
      <c r="S12" s="48">
        <v>22</v>
      </c>
      <c r="T12" s="48">
        <v>35</v>
      </c>
      <c r="U12" s="48">
        <f t="shared" si="5"/>
        <v>68</v>
      </c>
      <c r="V12" s="104">
        <f t="shared" si="12"/>
        <v>0.68</v>
      </c>
      <c r="W12" s="48" t="str">
        <f t="shared" si="13"/>
        <v>C</v>
      </c>
      <c r="X12" s="48" t="str">
        <f t="shared" si="14"/>
        <v>2</v>
      </c>
      <c r="Y12" s="48">
        <v>14</v>
      </c>
      <c r="Z12" s="48">
        <v>11</v>
      </c>
      <c r="AA12" s="48">
        <v>38</v>
      </c>
      <c r="AB12" s="48">
        <f>SUM(Y12:AA12)</f>
        <v>63</v>
      </c>
      <c r="AC12" s="104">
        <f t="shared" si="15"/>
        <v>0.63</v>
      </c>
      <c r="AD12" s="48" t="str">
        <f t="shared" si="16"/>
        <v>C</v>
      </c>
      <c r="AE12" s="48" t="str">
        <f t="shared" si="17"/>
        <v>2</v>
      </c>
      <c r="AF12" s="48">
        <v>16</v>
      </c>
      <c r="AG12" s="48">
        <v>23</v>
      </c>
      <c r="AH12" s="48">
        <v>22</v>
      </c>
      <c r="AI12" s="48">
        <f t="shared" si="7"/>
        <v>61</v>
      </c>
      <c r="AJ12" s="104">
        <f t="shared" si="18"/>
        <v>0.61</v>
      </c>
      <c r="AK12" s="48" t="str">
        <f t="shared" si="19"/>
        <v>C</v>
      </c>
      <c r="AL12" s="48" t="str">
        <f t="shared" si="20"/>
        <v>2</v>
      </c>
      <c r="AM12" s="48">
        <f t="shared" si="8"/>
        <v>34</v>
      </c>
      <c r="AN12" s="48">
        <f t="shared" si="21"/>
        <v>2.4285714285714284</v>
      </c>
      <c r="AO12" s="48">
        <f t="shared" si="22"/>
        <v>2.4285714285714284</v>
      </c>
      <c r="AP12" s="48">
        <f t="shared" si="23"/>
        <v>2.4299999999999997</v>
      </c>
      <c r="AQ12" s="48" t="str">
        <f t="shared" si="24"/>
        <v/>
      </c>
    </row>
    <row r="13" spans="2:43" x14ac:dyDescent="0.3">
      <c r="B13" s="11">
        <v>4</v>
      </c>
      <c r="C13" s="11" t="s">
        <v>209</v>
      </c>
      <c r="D13" s="48">
        <v>21</v>
      </c>
      <c r="E13" s="48">
        <v>21</v>
      </c>
      <c r="F13" s="48">
        <v>45</v>
      </c>
      <c r="G13" s="48">
        <f t="shared" si="0"/>
        <v>87</v>
      </c>
      <c r="H13" s="110">
        <f t="shared" si="1"/>
        <v>0.87</v>
      </c>
      <c r="I13" s="48" t="str">
        <f t="shared" si="9"/>
        <v>A</v>
      </c>
      <c r="J13" s="48" t="str">
        <f t="shared" si="2"/>
        <v>4</v>
      </c>
      <c r="K13" s="48">
        <v>19</v>
      </c>
      <c r="L13" s="48">
        <v>21</v>
      </c>
      <c r="M13" s="48">
        <v>34</v>
      </c>
      <c r="N13" s="48">
        <f t="shared" si="3"/>
        <v>74</v>
      </c>
      <c r="O13" s="104">
        <f t="shared" si="10"/>
        <v>0.74</v>
      </c>
      <c r="P13" s="48" t="str">
        <f t="shared" si="4"/>
        <v>B</v>
      </c>
      <c r="Q13" s="48" t="str">
        <f t="shared" si="11"/>
        <v>3</v>
      </c>
      <c r="R13" s="48">
        <v>18</v>
      </c>
      <c r="S13" s="48">
        <v>14</v>
      </c>
      <c r="T13" s="48">
        <v>32</v>
      </c>
      <c r="U13" s="48">
        <f t="shared" si="5"/>
        <v>64</v>
      </c>
      <c r="V13" s="104">
        <f t="shared" si="12"/>
        <v>0.64</v>
      </c>
      <c r="W13" s="48" t="str">
        <f t="shared" si="13"/>
        <v>C</v>
      </c>
      <c r="X13" s="48" t="str">
        <f t="shared" si="14"/>
        <v>2</v>
      </c>
      <c r="Y13" s="48">
        <v>22</v>
      </c>
      <c r="Z13" s="48">
        <v>12</v>
      </c>
      <c r="AA13" s="48">
        <v>47</v>
      </c>
      <c r="AB13" s="48">
        <f t="shared" si="6"/>
        <v>81</v>
      </c>
      <c r="AC13" s="104">
        <f t="shared" si="15"/>
        <v>0.81</v>
      </c>
      <c r="AD13" s="48" t="str">
        <f t="shared" si="16"/>
        <v>A</v>
      </c>
      <c r="AE13" s="48" t="str">
        <f t="shared" si="17"/>
        <v>4</v>
      </c>
      <c r="AF13" s="48">
        <v>18</v>
      </c>
      <c r="AG13" s="48">
        <v>21</v>
      </c>
      <c r="AH13" s="48">
        <v>45</v>
      </c>
      <c r="AI13" s="48">
        <f t="shared" si="7"/>
        <v>84</v>
      </c>
      <c r="AJ13" s="104">
        <f t="shared" si="18"/>
        <v>0.84</v>
      </c>
      <c r="AK13" s="48" t="str">
        <f t="shared" si="19"/>
        <v>A</v>
      </c>
      <c r="AL13" s="48" t="str">
        <f t="shared" si="20"/>
        <v>4</v>
      </c>
      <c r="AM13" s="48">
        <f t="shared" si="8"/>
        <v>47</v>
      </c>
      <c r="AN13" s="48">
        <f t="shared" si="21"/>
        <v>3.3571428571428572</v>
      </c>
      <c r="AO13" s="48">
        <f t="shared" si="22"/>
        <v>3.3571428571428572</v>
      </c>
      <c r="AP13" s="48">
        <f t="shared" si="23"/>
        <v>3.36</v>
      </c>
      <c r="AQ13" s="48" t="str">
        <f t="shared" si="24"/>
        <v>Third</v>
      </c>
    </row>
    <row r="14" spans="2:43" x14ac:dyDescent="0.3">
      <c r="B14" s="11">
        <v>5</v>
      </c>
      <c r="C14" s="11" t="s">
        <v>208</v>
      </c>
      <c r="D14" s="48">
        <v>20</v>
      </c>
      <c r="E14" s="48">
        <v>14</v>
      </c>
      <c r="F14" s="48">
        <v>34</v>
      </c>
      <c r="G14" s="48">
        <f t="shared" si="0"/>
        <v>68</v>
      </c>
      <c r="H14" s="110">
        <f t="shared" si="1"/>
        <v>0.68</v>
      </c>
      <c r="I14" s="48" t="str">
        <f t="shared" si="9"/>
        <v>C</v>
      </c>
      <c r="J14" s="48" t="str">
        <f t="shared" si="2"/>
        <v>2</v>
      </c>
      <c r="K14" s="48">
        <v>20</v>
      </c>
      <c r="L14" s="48">
        <v>13</v>
      </c>
      <c r="M14" s="48">
        <v>35</v>
      </c>
      <c r="N14" s="48">
        <f t="shared" si="3"/>
        <v>68</v>
      </c>
      <c r="O14" s="104">
        <f t="shared" si="10"/>
        <v>0.68</v>
      </c>
      <c r="P14" s="48" t="str">
        <f t="shared" si="4"/>
        <v>C</v>
      </c>
      <c r="Q14" s="48" t="str">
        <f t="shared" si="11"/>
        <v>2</v>
      </c>
      <c r="R14" s="48">
        <v>22</v>
      </c>
      <c r="S14" s="48">
        <v>13</v>
      </c>
      <c r="T14" s="48">
        <v>42</v>
      </c>
      <c r="U14" s="48">
        <f t="shared" si="5"/>
        <v>77</v>
      </c>
      <c r="V14" s="104">
        <f t="shared" si="12"/>
        <v>0.77</v>
      </c>
      <c r="W14" s="48" t="str">
        <f t="shared" si="13"/>
        <v>B</v>
      </c>
      <c r="X14" s="48" t="str">
        <f t="shared" si="14"/>
        <v>3</v>
      </c>
      <c r="Y14" s="48">
        <v>20</v>
      </c>
      <c r="Z14" s="48">
        <v>9</v>
      </c>
      <c r="AA14" s="48">
        <v>42</v>
      </c>
      <c r="AB14" s="48">
        <f t="shared" si="6"/>
        <v>71</v>
      </c>
      <c r="AC14" s="104">
        <f t="shared" si="15"/>
        <v>0.71</v>
      </c>
      <c r="AD14" s="48" t="str">
        <f t="shared" si="16"/>
        <v>B</v>
      </c>
      <c r="AE14" s="48" t="str">
        <f t="shared" si="17"/>
        <v>3</v>
      </c>
      <c r="AF14" s="48">
        <v>23</v>
      </c>
      <c r="AG14" s="48">
        <v>13</v>
      </c>
      <c r="AH14" s="48">
        <v>40</v>
      </c>
      <c r="AI14" s="48">
        <f t="shared" si="7"/>
        <v>76</v>
      </c>
      <c r="AJ14" s="104">
        <f t="shared" si="18"/>
        <v>0.76</v>
      </c>
      <c r="AK14" s="48" t="str">
        <f t="shared" si="19"/>
        <v>B</v>
      </c>
      <c r="AL14" s="48" t="str">
        <f t="shared" si="20"/>
        <v>3</v>
      </c>
      <c r="AM14" s="48">
        <f t="shared" si="8"/>
        <v>36</v>
      </c>
      <c r="AN14" s="48">
        <f t="shared" si="21"/>
        <v>2.5714285714285716</v>
      </c>
      <c r="AO14" s="48">
        <f t="shared" si="22"/>
        <v>2.5714285714285716</v>
      </c>
      <c r="AP14" s="48">
        <f t="shared" si="23"/>
        <v>2.5799999999999996</v>
      </c>
      <c r="AQ14" s="48" t="str">
        <f t="shared" si="24"/>
        <v/>
      </c>
    </row>
    <row r="15" spans="2:43" x14ac:dyDescent="0.3">
      <c r="B15" s="11">
        <v>6</v>
      </c>
      <c r="C15" s="11" t="s">
        <v>207</v>
      </c>
      <c r="D15" s="48">
        <v>15</v>
      </c>
      <c r="E15" s="48">
        <v>20</v>
      </c>
      <c r="F15" s="48">
        <v>36</v>
      </c>
      <c r="G15" s="48">
        <f t="shared" si="0"/>
        <v>71</v>
      </c>
      <c r="H15" s="110">
        <f t="shared" si="1"/>
        <v>0.71</v>
      </c>
      <c r="I15" s="48" t="str">
        <f t="shared" si="9"/>
        <v>B</v>
      </c>
      <c r="J15" s="48" t="str">
        <f t="shared" si="2"/>
        <v>3</v>
      </c>
      <c r="K15" s="48">
        <v>14</v>
      </c>
      <c r="L15" s="48">
        <v>11</v>
      </c>
      <c r="M15" s="48">
        <v>40</v>
      </c>
      <c r="N15" s="48">
        <f t="shared" si="3"/>
        <v>65</v>
      </c>
      <c r="O15" s="104">
        <f t="shared" si="10"/>
        <v>0.65</v>
      </c>
      <c r="P15" s="48" t="str">
        <f t="shared" si="4"/>
        <v>C</v>
      </c>
      <c r="Q15" s="48" t="str">
        <f t="shared" si="11"/>
        <v>2</v>
      </c>
      <c r="R15" s="48">
        <v>17</v>
      </c>
      <c r="S15" s="48">
        <v>12</v>
      </c>
      <c r="T15" s="48">
        <v>32</v>
      </c>
      <c r="U15" s="48">
        <f t="shared" si="5"/>
        <v>61</v>
      </c>
      <c r="V15" s="104">
        <f t="shared" si="12"/>
        <v>0.61</v>
      </c>
      <c r="W15" s="48" t="str">
        <f t="shared" si="13"/>
        <v>C</v>
      </c>
      <c r="X15" s="48" t="str">
        <f t="shared" si="14"/>
        <v>2</v>
      </c>
      <c r="Y15" s="48">
        <v>16</v>
      </c>
      <c r="Z15" s="48">
        <v>15</v>
      </c>
      <c r="AA15" s="48">
        <v>42</v>
      </c>
      <c r="AB15" s="48">
        <f t="shared" si="6"/>
        <v>73</v>
      </c>
      <c r="AC15" s="104">
        <f t="shared" si="15"/>
        <v>0.73</v>
      </c>
      <c r="AD15" s="48" t="str">
        <f t="shared" si="16"/>
        <v>B</v>
      </c>
      <c r="AE15" s="48" t="str">
        <f t="shared" si="17"/>
        <v>3</v>
      </c>
      <c r="AF15" s="48">
        <v>14</v>
      </c>
      <c r="AG15" s="48">
        <v>17</v>
      </c>
      <c r="AH15" s="48">
        <v>29</v>
      </c>
      <c r="AI15" s="48">
        <f t="shared" si="7"/>
        <v>60</v>
      </c>
      <c r="AJ15" s="104">
        <f t="shared" si="18"/>
        <v>0.6</v>
      </c>
      <c r="AK15" s="48" t="str">
        <f t="shared" si="19"/>
        <v>C</v>
      </c>
      <c r="AL15" s="48" t="str">
        <f t="shared" si="20"/>
        <v>2</v>
      </c>
      <c r="AM15" s="48">
        <f t="shared" si="8"/>
        <v>33</v>
      </c>
      <c r="AN15" s="48">
        <f t="shared" si="21"/>
        <v>2.3571428571428572</v>
      </c>
      <c r="AO15" s="48">
        <f t="shared" si="22"/>
        <v>2.3571428571428572</v>
      </c>
      <c r="AP15" s="48">
        <f t="shared" si="23"/>
        <v>2.36</v>
      </c>
      <c r="AQ15" s="48" t="str">
        <f t="shared" si="24"/>
        <v/>
      </c>
    </row>
    <row r="16" spans="2:43" x14ac:dyDescent="0.3">
      <c r="B16" s="11">
        <v>7</v>
      </c>
      <c r="C16" s="11" t="s">
        <v>206</v>
      </c>
      <c r="D16" s="48">
        <v>12</v>
      </c>
      <c r="E16" s="48">
        <v>17</v>
      </c>
      <c r="F16" s="48">
        <v>43</v>
      </c>
      <c r="G16" s="48">
        <f t="shared" si="0"/>
        <v>72</v>
      </c>
      <c r="H16" s="110">
        <f t="shared" si="1"/>
        <v>0.72</v>
      </c>
      <c r="I16" s="48" t="str">
        <f t="shared" si="9"/>
        <v>B</v>
      </c>
      <c r="J16" s="48" t="str">
        <f t="shared" si="2"/>
        <v>3</v>
      </c>
      <c r="K16" s="48">
        <v>18</v>
      </c>
      <c r="L16" s="48">
        <v>14</v>
      </c>
      <c r="M16" s="48">
        <v>37</v>
      </c>
      <c r="N16" s="48">
        <f t="shared" si="3"/>
        <v>69</v>
      </c>
      <c r="O16" s="104">
        <f t="shared" si="10"/>
        <v>0.69</v>
      </c>
      <c r="P16" s="48" t="str">
        <f t="shared" si="4"/>
        <v>C</v>
      </c>
      <c r="Q16" s="48" t="str">
        <f t="shared" si="11"/>
        <v>2</v>
      </c>
      <c r="R16" s="48">
        <v>14</v>
      </c>
      <c r="S16" s="48">
        <v>16</v>
      </c>
      <c r="T16" s="48">
        <v>33</v>
      </c>
      <c r="U16" s="48">
        <f t="shared" si="5"/>
        <v>63</v>
      </c>
      <c r="V16" s="104">
        <f t="shared" si="12"/>
        <v>0.63</v>
      </c>
      <c r="W16" s="48" t="str">
        <f t="shared" si="13"/>
        <v>C</v>
      </c>
      <c r="X16" s="48" t="str">
        <f t="shared" si="14"/>
        <v>2</v>
      </c>
      <c r="Y16" s="48">
        <v>20</v>
      </c>
      <c r="Z16" s="48">
        <v>12</v>
      </c>
      <c r="AA16" s="48">
        <v>47</v>
      </c>
      <c r="AB16" s="48">
        <f t="shared" si="6"/>
        <v>79</v>
      </c>
      <c r="AC16" s="104">
        <f t="shared" si="15"/>
        <v>0.79</v>
      </c>
      <c r="AD16" s="48" t="str">
        <f t="shared" si="16"/>
        <v>B</v>
      </c>
      <c r="AE16" s="48" t="str">
        <f t="shared" si="17"/>
        <v>3</v>
      </c>
      <c r="AF16" s="48">
        <v>19</v>
      </c>
      <c r="AG16" s="48">
        <v>13</v>
      </c>
      <c r="AH16" s="48">
        <v>42</v>
      </c>
      <c r="AI16" s="48">
        <f t="shared" si="7"/>
        <v>74</v>
      </c>
      <c r="AJ16" s="104">
        <f t="shared" si="18"/>
        <v>0.74</v>
      </c>
      <c r="AK16" s="48" t="str">
        <f t="shared" si="19"/>
        <v>B</v>
      </c>
      <c r="AL16" s="48" t="str">
        <f t="shared" si="20"/>
        <v>3</v>
      </c>
      <c r="AM16" s="48">
        <f t="shared" si="8"/>
        <v>36</v>
      </c>
      <c r="AN16" s="48">
        <f t="shared" si="21"/>
        <v>2.5714285714285716</v>
      </c>
      <c r="AO16" s="48">
        <f t="shared" si="22"/>
        <v>2.5714285714285716</v>
      </c>
      <c r="AP16" s="48">
        <f t="shared" si="23"/>
        <v>2.5799999999999996</v>
      </c>
      <c r="AQ16" s="48" t="str">
        <f t="shared" si="24"/>
        <v/>
      </c>
    </row>
    <row r="17" spans="2:43" x14ac:dyDescent="0.3">
      <c r="B17" s="11">
        <v>8</v>
      </c>
      <c r="C17" s="11" t="s">
        <v>205</v>
      </c>
      <c r="D17" s="48">
        <v>13</v>
      </c>
      <c r="E17" s="48">
        <v>21</v>
      </c>
      <c r="F17" s="48">
        <v>30</v>
      </c>
      <c r="G17" s="48">
        <f t="shared" si="0"/>
        <v>64</v>
      </c>
      <c r="H17" s="110">
        <f t="shared" si="1"/>
        <v>0.64</v>
      </c>
      <c r="I17" s="48" t="str">
        <f t="shared" si="9"/>
        <v>C</v>
      </c>
      <c r="J17" s="48" t="str">
        <f t="shared" si="2"/>
        <v>2</v>
      </c>
      <c r="K17" s="48">
        <v>20</v>
      </c>
      <c r="L17" s="48">
        <v>20</v>
      </c>
      <c r="M17" s="48">
        <v>37</v>
      </c>
      <c r="N17" s="48">
        <f t="shared" si="3"/>
        <v>77</v>
      </c>
      <c r="O17" s="104">
        <f t="shared" si="10"/>
        <v>0.77</v>
      </c>
      <c r="P17" s="48" t="str">
        <f t="shared" si="4"/>
        <v>B</v>
      </c>
      <c r="Q17" s="48" t="str">
        <f t="shared" si="11"/>
        <v>3</v>
      </c>
      <c r="R17" s="48">
        <v>17</v>
      </c>
      <c r="S17" s="48">
        <v>20</v>
      </c>
      <c r="T17" s="48">
        <v>39</v>
      </c>
      <c r="U17" s="48">
        <f t="shared" si="5"/>
        <v>76</v>
      </c>
      <c r="V17" s="104">
        <f t="shared" si="12"/>
        <v>0.76</v>
      </c>
      <c r="W17" s="48" t="str">
        <f t="shared" si="13"/>
        <v>B</v>
      </c>
      <c r="X17" s="48" t="str">
        <f t="shared" si="14"/>
        <v>3</v>
      </c>
      <c r="Y17" s="48">
        <v>14</v>
      </c>
      <c r="Z17" s="48">
        <v>9</v>
      </c>
      <c r="AA17" s="48">
        <v>43</v>
      </c>
      <c r="AB17" s="48">
        <f t="shared" si="6"/>
        <v>66</v>
      </c>
      <c r="AC17" s="104">
        <f t="shared" si="15"/>
        <v>0.66</v>
      </c>
      <c r="AD17" s="48" t="str">
        <f t="shared" si="16"/>
        <v>C</v>
      </c>
      <c r="AE17" s="48" t="str">
        <f t="shared" si="17"/>
        <v>2</v>
      </c>
      <c r="AF17" s="48">
        <v>14</v>
      </c>
      <c r="AG17" s="48">
        <v>22</v>
      </c>
      <c r="AH17" s="48">
        <v>23</v>
      </c>
      <c r="AI17" s="48">
        <f t="shared" si="7"/>
        <v>59</v>
      </c>
      <c r="AJ17" s="104">
        <f t="shared" si="18"/>
        <v>0.59</v>
      </c>
      <c r="AK17" s="48" t="str">
        <f t="shared" si="19"/>
        <v>D</v>
      </c>
      <c r="AL17" s="48" t="str">
        <f t="shared" si="20"/>
        <v>1</v>
      </c>
      <c r="AM17" s="48">
        <f t="shared" si="8"/>
        <v>31</v>
      </c>
      <c r="AN17" s="48">
        <f t="shared" si="21"/>
        <v>2.2142857142857144</v>
      </c>
      <c r="AO17" s="48">
        <f t="shared" si="22"/>
        <v>2.2142857142857144</v>
      </c>
      <c r="AP17" s="48">
        <f t="shared" si="23"/>
        <v>2.2199999999999998</v>
      </c>
      <c r="AQ17" s="48" t="str">
        <f t="shared" si="24"/>
        <v/>
      </c>
    </row>
    <row r="18" spans="2:43" x14ac:dyDescent="0.3">
      <c r="B18" s="11">
        <v>9</v>
      </c>
      <c r="C18" s="11" t="s">
        <v>212</v>
      </c>
      <c r="D18" s="48">
        <v>22</v>
      </c>
      <c r="E18" s="48">
        <v>21</v>
      </c>
      <c r="F18" s="48">
        <v>36</v>
      </c>
      <c r="G18" s="48">
        <f t="shared" si="0"/>
        <v>79</v>
      </c>
      <c r="H18" s="110">
        <f t="shared" si="1"/>
        <v>0.79</v>
      </c>
      <c r="I18" s="48" t="str">
        <f t="shared" si="9"/>
        <v>B</v>
      </c>
      <c r="J18" s="48" t="str">
        <f t="shared" si="2"/>
        <v>3</v>
      </c>
      <c r="K18" s="48">
        <v>19</v>
      </c>
      <c r="L18" s="48">
        <v>17</v>
      </c>
      <c r="M18" s="48">
        <v>39</v>
      </c>
      <c r="N18" s="48">
        <f t="shared" si="3"/>
        <v>75</v>
      </c>
      <c r="O18" s="104">
        <f t="shared" si="10"/>
        <v>0.75</v>
      </c>
      <c r="P18" s="48" t="str">
        <f t="shared" si="4"/>
        <v>B</v>
      </c>
      <c r="Q18" s="48" t="str">
        <f t="shared" si="11"/>
        <v>3</v>
      </c>
      <c r="R18" s="48">
        <v>11</v>
      </c>
      <c r="S18" s="48">
        <v>17</v>
      </c>
      <c r="T18" s="48">
        <v>44</v>
      </c>
      <c r="U18" s="48">
        <f t="shared" si="5"/>
        <v>72</v>
      </c>
      <c r="V18" s="104">
        <f t="shared" si="12"/>
        <v>0.72</v>
      </c>
      <c r="W18" s="48" t="str">
        <f t="shared" si="13"/>
        <v>B</v>
      </c>
      <c r="X18" s="48" t="str">
        <f t="shared" si="14"/>
        <v>3</v>
      </c>
      <c r="Y18" s="48">
        <v>22</v>
      </c>
      <c r="Z18" s="48">
        <v>14</v>
      </c>
      <c r="AA18" s="48">
        <v>36</v>
      </c>
      <c r="AB18" s="48">
        <f t="shared" si="6"/>
        <v>72</v>
      </c>
      <c r="AC18" s="104">
        <f t="shared" si="15"/>
        <v>0.72</v>
      </c>
      <c r="AD18" s="48" t="str">
        <f t="shared" si="16"/>
        <v>B</v>
      </c>
      <c r="AE18" s="48" t="str">
        <f t="shared" si="17"/>
        <v>3</v>
      </c>
      <c r="AF18" s="48">
        <v>21</v>
      </c>
      <c r="AG18" s="48">
        <v>12</v>
      </c>
      <c r="AH18" s="48">
        <v>44</v>
      </c>
      <c r="AI18" s="48">
        <f t="shared" si="7"/>
        <v>77</v>
      </c>
      <c r="AJ18" s="104">
        <f t="shared" si="18"/>
        <v>0.77</v>
      </c>
      <c r="AK18" s="48" t="str">
        <f t="shared" si="19"/>
        <v>B</v>
      </c>
      <c r="AL18" s="48" t="str">
        <f t="shared" si="20"/>
        <v>3</v>
      </c>
      <c r="AM18" s="48">
        <f t="shared" si="8"/>
        <v>42</v>
      </c>
      <c r="AN18" s="48">
        <f t="shared" si="21"/>
        <v>3</v>
      </c>
      <c r="AO18" s="48">
        <f t="shared" si="22"/>
        <v>3</v>
      </c>
      <c r="AP18" s="48">
        <f t="shared" si="23"/>
        <v>3</v>
      </c>
      <c r="AQ18" s="48" t="str">
        <f t="shared" si="24"/>
        <v/>
      </c>
    </row>
    <row r="19" spans="2:43" ht="15" thickBot="1" x14ac:dyDescent="0.35">
      <c r="B19" s="12">
        <v>10</v>
      </c>
      <c r="C19" s="12" t="s">
        <v>214</v>
      </c>
      <c r="D19" s="89">
        <v>22</v>
      </c>
      <c r="E19" s="89">
        <v>22</v>
      </c>
      <c r="F19" s="89">
        <v>42</v>
      </c>
      <c r="G19" s="89">
        <f t="shared" si="0"/>
        <v>86</v>
      </c>
      <c r="H19" s="112">
        <f t="shared" si="1"/>
        <v>0.86</v>
      </c>
      <c r="I19" s="89" t="str">
        <f t="shared" si="9"/>
        <v>A</v>
      </c>
      <c r="J19" s="89" t="str">
        <f t="shared" si="2"/>
        <v>4</v>
      </c>
      <c r="K19" s="89">
        <v>12</v>
      </c>
      <c r="L19" s="89">
        <v>23</v>
      </c>
      <c r="M19" s="89">
        <v>45</v>
      </c>
      <c r="N19" s="89">
        <f>SUM(K19:M19)</f>
        <v>80</v>
      </c>
      <c r="O19" s="105">
        <f t="shared" si="10"/>
        <v>0.8</v>
      </c>
      <c r="P19" s="89" t="str">
        <f t="shared" si="4"/>
        <v>A</v>
      </c>
      <c r="Q19" s="89" t="str">
        <f t="shared" si="11"/>
        <v>4</v>
      </c>
      <c r="R19" s="89">
        <v>19</v>
      </c>
      <c r="S19" s="89">
        <v>12</v>
      </c>
      <c r="T19" s="89">
        <v>39</v>
      </c>
      <c r="U19" s="89">
        <f>SUM(R19:T19)</f>
        <v>70</v>
      </c>
      <c r="V19" s="105">
        <f t="shared" si="12"/>
        <v>0.7</v>
      </c>
      <c r="W19" s="89" t="str">
        <f t="shared" si="13"/>
        <v>B</v>
      </c>
      <c r="X19" s="89" t="str">
        <f t="shared" si="14"/>
        <v>3</v>
      </c>
      <c r="Y19" s="89">
        <v>22</v>
      </c>
      <c r="Z19" s="89">
        <v>21</v>
      </c>
      <c r="AA19" s="89">
        <v>44</v>
      </c>
      <c r="AB19" s="89">
        <f t="shared" si="6"/>
        <v>87</v>
      </c>
      <c r="AC19" s="105">
        <f t="shared" si="15"/>
        <v>0.87</v>
      </c>
      <c r="AD19" s="89" t="str">
        <f t="shared" si="16"/>
        <v>A</v>
      </c>
      <c r="AE19" s="89" t="str">
        <f t="shared" si="17"/>
        <v>4</v>
      </c>
      <c r="AF19" s="89">
        <v>20</v>
      </c>
      <c r="AG19" s="89">
        <v>22</v>
      </c>
      <c r="AH19" s="89">
        <v>40</v>
      </c>
      <c r="AI19" s="89">
        <f t="shared" si="7"/>
        <v>82</v>
      </c>
      <c r="AJ19" s="105">
        <f t="shared" si="18"/>
        <v>0.82</v>
      </c>
      <c r="AK19" s="89" t="str">
        <f t="shared" si="19"/>
        <v>A</v>
      </c>
      <c r="AL19" s="89" t="str">
        <f t="shared" si="20"/>
        <v>4</v>
      </c>
      <c r="AM19" s="89">
        <f t="shared" si="8"/>
        <v>53</v>
      </c>
      <c r="AN19" s="89">
        <f t="shared" si="21"/>
        <v>3.7857142857142856</v>
      </c>
      <c r="AO19" s="89">
        <f t="shared" si="22"/>
        <v>3.7857142857142856</v>
      </c>
      <c r="AP19" s="89">
        <f t="shared" si="23"/>
        <v>3.7899999999999996</v>
      </c>
      <c r="AQ19" s="89" t="str">
        <f t="shared" si="24"/>
        <v>Second</v>
      </c>
    </row>
    <row r="21" spans="2:43" x14ac:dyDescent="0.3">
      <c r="I21" s="27"/>
      <c r="J21" s="18"/>
      <c r="K21" s="18"/>
    </row>
    <row r="22" spans="2:43" ht="15.45" customHeight="1" thickBot="1" x14ac:dyDescent="0.45">
      <c r="C22" s="60"/>
      <c r="D22" s="60"/>
      <c r="E22" s="60"/>
      <c r="F22" s="60"/>
      <c r="G22" s="60"/>
      <c r="I22" s="24" t="s">
        <v>24</v>
      </c>
      <c r="J22" s="25"/>
      <c r="K22" s="26">
        <v>14</v>
      </c>
      <c r="P22" s="31" t="s">
        <v>26</v>
      </c>
      <c r="Q22" s="157" t="s">
        <v>27</v>
      </c>
      <c r="R22" s="157"/>
      <c r="S22" s="157"/>
      <c r="T22" s="157"/>
      <c r="U22" s="26"/>
      <c r="V22" s="24" t="s">
        <v>33</v>
      </c>
    </row>
    <row r="23" spans="2:43" ht="16.95" customHeight="1" x14ac:dyDescent="0.3">
      <c r="G23" s="57"/>
      <c r="I23" s="155" t="s">
        <v>1</v>
      </c>
      <c r="J23" s="156"/>
      <c r="K23" s="5"/>
      <c r="L23" s="5"/>
      <c r="M23" s="5"/>
      <c r="N23" s="14" t="s">
        <v>0</v>
      </c>
      <c r="P23" s="28">
        <v>1</v>
      </c>
      <c r="Q23" s="11" t="s">
        <v>35</v>
      </c>
      <c r="R23" s="11"/>
      <c r="S23" s="11"/>
      <c r="T23" s="11"/>
      <c r="U23" s="11"/>
      <c r="V23" s="32">
        <v>3</v>
      </c>
    </row>
    <row r="24" spans="2:43" x14ac:dyDescent="0.3">
      <c r="C24" s="47"/>
      <c r="I24" s="1">
        <v>0</v>
      </c>
      <c r="J24" s="6"/>
      <c r="K24" s="6"/>
      <c r="L24" s="6"/>
      <c r="M24" s="6"/>
      <c r="N24" s="2" t="s">
        <v>6</v>
      </c>
      <c r="P24" s="28">
        <v>2</v>
      </c>
      <c r="Q24" s="11" t="s">
        <v>31</v>
      </c>
      <c r="R24" s="11"/>
      <c r="S24" s="11"/>
      <c r="T24" s="11"/>
      <c r="U24" s="11"/>
      <c r="V24" s="32">
        <v>3</v>
      </c>
    </row>
    <row r="25" spans="2:43" x14ac:dyDescent="0.3">
      <c r="C25" s="47"/>
      <c r="I25" s="1">
        <v>0.5</v>
      </c>
      <c r="J25" s="6"/>
      <c r="K25" s="6"/>
      <c r="L25" s="6"/>
      <c r="M25" s="6"/>
      <c r="N25" s="2" t="s">
        <v>5</v>
      </c>
      <c r="P25" s="28">
        <v>3</v>
      </c>
      <c r="Q25" s="11" t="s">
        <v>28</v>
      </c>
      <c r="R25" s="11"/>
      <c r="S25" s="11"/>
      <c r="T25" s="11"/>
      <c r="U25" s="11"/>
      <c r="V25" s="32">
        <v>3</v>
      </c>
    </row>
    <row r="26" spans="2:43" x14ac:dyDescent="0.3">
      <c r="F26" s="59"/>
      <c r="I26" s="1">
        <v>0.6</v>
      </c>
      <c r="J26" s="6"/>
      <c r="K26" s="6"/>
      <c r="L26" s="6"/>
      <c r="M26" s="6"/>
      <c r="N26" s="2" t="s">
        <v>4</v>
      </c>
      <c r="P26" s="28">
        <v>4</v>
      </c>
      <c r="Q26" s="11" t="s">
        <v>29</v>
      </c>
      <c r="R26" s="11"/>
      <c r="S26" s="11"/>
      <c r="T26" s="11"/>
      <c r="U26" s="11"/>
      <c r="V26" s="32">
        <v>2</v>
      </c>
    </row>
    <row r="27" spans="2:43" ht="15" thickBot="1" x14ac:dyDescent="0.35">
      <c r="F27" s="59"/>
      <c r="I27" s="1">
        <v>0.7</v>
      </c>
      <c r="J27" s="6"/>
      <c r="K27" s="6"/>
      <c r="L27" s="6"/>
      <c r="M27" s="6"/>
      <c r="N27" s="2" t="s">
        <v>3</v>
      </c>
      <c r="P27" s="28">
        <v>5</v>
      </c>
      <c r="Q27" s="11" t="s">
        <v>30</v>
      </c>
      <c r="R27" s="11"/>
      <c r="S27" s="11"/>
      <c r="T27" s="11"/>
      <c r="U27" s="11"/>
      <c r="V27" s="32">
        <v>3</v>
      </c>
    </row>
    <row r="28" spans="2:43" ht="15" thickBot="1" x14ac:dyDescent="0.35">
      <c r="F28" s="59"/>
      <c r="I28" s="3">
        <v>0.8</v>
      </c>
      <c r="J28" s="7"/>
      <c r="K28" s="7"/>
      <c r="L28" s="7"/>
      <c r="M28" s="7"/>
      <c r="N28" s="4" t="s">
        <v>2</v>
      </c>
      <c r="P28" s="29"/>
      <c r="Q28" s="30" t="s">
        <v>32</v>
      </c>
      <c r="R28" s="30"/>
      <c r="S28" s="30"/>
      <c r="T28" s="30"/>
      <c r="U28" s="30"/>
      <c r="V28" s="33">
        <f>SUM(V23:V27)</f>
        <v>14</v>
      </c>
    </row>
    <row r="29" spans="2:43" x14ac:dyDescent="0.3">
      <c r="F29" s="59"/>
    </row>
    <row r="31" spans="2:43" x14ac:dyDescent="0.3">
      <c r="C31" s="47"/>
    </row>
  </sheetData>
  <mergeCells count="8">
    <mergeCell ref="B7:C8"/>
    <mergeCell ref="R8:X8"/>
    <mergeCell ref="Y8:AE8"/>
    <mergeCell ref="AF8:AL8"/>
    <mergeCell ref="I23:J23"/>
    <mergeCell ref="D8:J8"/>
    <mergeCell ref="K8:Q8"/>
    <mergeCell ref="Q22:T22"/>
  </mergeCells>
  <conditionalFormatting sqref="I10:I19 P10:P19 W10:W19 AD10:AD19 AK10:AK19">
    <cfRule type="containsText" dxfId="27" priority="1" operator="containsText" text="F">
      <formula>NOT(ISERROR(SEARCH("F",I10)))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6" r:id="rId4" name="Button 24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1424940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5" name="Button 26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1424940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P29"/>
  <sheetViews>
    <sheetView workbookViewId="0">
      <selection activeCell="N3" sqref="N3"/>
    </sheetView>
  </sheetViews>
  <sheetFormatPr defaultColWidth="8.77734375" defaultRowHeight="14.4" x14ac:dyDescent="0.3"/>
  <cols>
    <col min="2" max="2" width="6.6640625" customWidth="1"/>
    <col min="3" max="3" width="20.77734375" customWidth="1"/>
    <col min="4" max="6" width="7.6640625" bestFit="1" customWidth="1"/>
    <col min="7" max="7" width="7" customWidth="1"/>
    <col min="8" max="8" width="9.77734375" customWidth="1"/>
    <col min="9" max="9" width="5.6640625" customWidth="1"/>
    <col min="10" max="10" width="4.33203125" customWidth="1"/>
    <col min="11" max="13" width="7.6640625" customWidth="1"/>
    <col min="14" max="14" width="7" customWidth="1"/>
    <col min="15" max="15" width="9.77734375" customWidth="1"/>
    <col min="16" max="16" width="5.6640625" customWidth="1"/>
    <col min="17" max="17" width="4.33203125" bestFit="1" customWidth="1"/>
    <col min="18" max="20" width="7.6640625" bestFit="1" customWidth="1"/>
    <col min="21" max="21" width="9.66406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8.441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7.44140625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109375" bestFit="1" customWidth="1"/>
    <col min="40" max="41" width="5.33203125" bestFit="1" customWidth="1"/>
  </cols>
  <sheetData>
    <row r="1" spans="2:42" ht="15" thickBot="1" x14ac:dyDescent="0.35"/>
    <row r="2" spans="2:42" x14ac:dyDescent="0.3">
      <c r="B2" s="158"/>
      <c r="C2" s="159"/>
    </row>
    <row r="3" spans="2:42" ht="15" thickBot="1" x14ac:dyDescent="0.35">
      <c r="B3" s="160"/>
      <c r="C3" s="161"/>
    </row>
    <row r="4" spans="2:42" x14ac:dyDescent="0.3">
      <c r="B4" s="158"/>
      <c r="C4" s="159"/>
    </row>
    <row r="5" spans="2:42" ht="15" thickBot="1" x14ac:dyDescent="0.35">
      <c r="B5" s="160"/>
      <c r="C5" s="161"/>
    </row>
    <row r="6" spans="2:42" ht="15" thickBot="1" x14ac:dyDescent="0.35"/>
    <row r="7" spans="2:42" ht="15" thickBot="1" x14ac:dyDescent="0.35">
      <c r="B7" s="148" t="s">
        <v>17</v>
      </c>
      <c r="C7" s="149"/>
    </row>
    <row r="8" spans="2:42" ht="15" thickBot="1" x14ac:dyDescent="0.35">
      <c r="B8" s="150"/>
      <c r="C8" s="151"/>
      <c r="D8" s="152" t="s">
        <v>178</v>
      </c>
      <c r="E8" s="153"/>
      <c r="F8" s="153"/>
      <c r="G8" s="153"/>
      <c r="H8" s="153"/>
      <c r="I8" s="153"/>
      <c r="J8" s="154"/>
      <c r="K8" s="152" t="s">
        <v>36</v>
      </c>
      <c r="L8" s="153"/>
      <c r="M8" s="153"/>
      <c r="N8" s="153"/>
      <c r="O8" s="153"/>
      <c r="P8" s="153"/>
      <c r="Q8" s="154"/>
      <c r="R8" s="152" t="s">
        <v>37</v>
      </c>
      <c r="S8" s="153"/>
      <c r="T8" s="153"/>
      <c r="U8" s="153"/>
      <c r="V8" s="153"/>
      <c r="W8" s="153"/>
      <c r="X8" s="154"/>
      <c r="Y8" s="152" t="s">
        <v>38</v>
      </c>
      <c r="Z8" s="153"/>
      <c r="AA8" s="153"/>
      <c r="AB8" s="153"/>
      <c r="AC8" s="153"/>
      <c r="AD8" s="153"/>
      <c r="AE8" s="154"/>
      <c r="AF8" s="152" t="s">
        <v>39</v>
      </c>
      <c r="AG8" s="153"/>
      <c r="AH8" s="153"/>
      <c r="AI8" s="153"/>
      <c r="AJ8" s="153"/>
      <c r="AK8" s="153"/>
      <c r="AL8" s="154"/>
    </row>
    <row r="9" spans="2:42" ht="15.6" x14ac:dyDescent="0.3">
      <c r="B9" s="10" t="s">
        <v>8</v>
      </c>
      <c r="C9" s="10" t="s">
        <v>7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2" t="s">
        <v>15</v>
      </c>
      <c r="AN9" s="102" t="s">
        <v>13</v>
      </c>
      <c r="AO9" s="102" t="s">
        <v>14</v>
      </c>
      <c r="AP9" s="103" t="s">
        <v>105</v>
      </c>
    </row>
    <row r="10" spans="2:42" x14ac:dyDescent="0.3">
      <c r="B10" s="11">
        <f>'Semester 1'!B10</f>
        <v>1</v>
      </c>
      <c r="C10" s="11" t="str">
        <f>'Semester 1'!C10</f>
        <v>Muhammad Ali</v>
      </c>
      <c r="D10" s="48">
        <v>20</v>
      </c>
      <c r="E10" s="48">
        <v>22</v>
      </c>
      <c r="F10" s="48">
        <v>41</v>
      </c>
      <c r="G10" s="48">
        <f t="shared" ref="G10:G19" si="0">SUM(D10:F10)</f>
        <v>83</v>
      </c>
      <c r="H10" s="104">
        <f t="shared" ref="H10:H19" si="1">G10/100</f>
        <v>0.83</v>
      </c>
      <c r="I10" s="48" t="str">
        <f>LOOKUP(H10,'Semester 1'!$I$24:$I$28,'Semester 1'!$N$24:$N$28)</f>
        <v>A</v>
      </c>
      <c r="J10" s="48" t="str">
        <f>IF(G10&gt;=80,"4",IF(G10&gt;=70,"3",IF(G10&gt;=60,"2",IF(G10&gt;=50,"1",IF(G10&lt;50,"0")))))</f>
        <v>4</v>
      </c>
      <c r="K10" s="48">
        <v>18</v>
      </c>
      <c r="L10" s="48">
        <v>21</v>
      </c>
      <c r="M10" s="48">
        <v>44</v>
      </c>
      <c r="N10" s="48">
        <f t="shared" ref="N10:N19" si="2">SUM(K10:M10)</f>
        <v>83</v>
      </c>
      <c r="O10" s="104">
        <f t="shared" ref="O10:O19" si="3">N10/100</f>
        <v>0.83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19</v>
      </c>
      <c r="S10" s="48">
        <v>17</v>
      </c>
      <c r="T10" s="48">
        <v>41</v>
      </c>
      <c r="U10" s="48">
        <f t="shared" ref="U10:U19" si="4">SUM(R10:T10)</f>
        <v>77</v>
      </c>
      <c r="V10" s="104">
        <f t="shared" ref="V10:V19" si="5">U10/100</f>
        <v>0.77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22</v>
      </c>
      <c r="Z10" s="48">
        <v>17</v>
      </c>
      <c r="AA10" s="48">
        <v>38</v>
      </c>
      <c r="AB10" s="48">
        <f t="shared" ref="AB10:AB19" si="6">SUM(Y10:AA10)</f>
        <v>77</v>
      </c>
      <c r="AC10" s="104">
        <f t="shared" ref="AC10:AC19" si="7">AB10/100</f>
        <v>0.77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22</v>
      </c>
      <c r="AG10" s="48">
        <v>13</v>
      </c>
      <c r="AH10" s="48">
        <v>39</v>
      </c>
      <c r="AI10" s="48">
        <f t="shared" ref="AI10:AI19" si="8">SUM(AF10:AH10)</f>
        <v>74</v>
      </c>
      <c r="AJ10" s="104">
        <f t="shared" ref="AJ10:AJ19" si="9">AI10/100</f>
        <v>0.74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f>J10*$N$23+Q10*$N$24+X10*$N$25+AE10*$N$26+AL10*$N$27</f>
        <v>48</v>
      </c>
      <c r="AN10" s="48">
        <f>AM10/$N$28</f>
        <v>3.4285714285714284</v>
      </c>
      <c r="AO10" s="48">
        <f>AVERAGE(AN10,'Semester 1'!AP10)</f>
        <v>3.7142857142857144</v>
      </c>
      <c r="AP10" s="48" t="str">
        <f>IF(LARGE($AN$10:$AN$19,1)=AN10,"First",IF(LARGE($AN$10:$AN$19,2)=AN10,"Second",IF(LARGE($AN$10:$AN$19,3)=AN10,"Third","")))</f>
        <v>Second</v>
      </c>
    </row>
    <row r="11" spans="2:42" x14ac:dyDescent="0.3">
      <c r="B11" s="11">
        <f>'Semester 1'!B11</f>
        <v>2</v>
      </c>
      <c r="C11" s="11" t="str">
        <f>'Semester 1'!C11</f>
        <v>Ali Ahmed</v>
      </c>
      <c r="D11" s="48">
        <v>15</v>
      </c>
      <c r="E11" s="48">
        <v>9</v>
      </c>
      <c r="F11" s="48">
        <v>29</v>
      </c>
      <c r="G11" s="48">
        <f t="shared" si="0"/>
        <v>53</v>
      </c>
      <c r="H11" s="104">
        <f t="shared" si="1"/>
        <v>0.53</v>
      </c>
      <c r="I11" s="48" t="str">
        <f>LOOKUP(H11,'Semester 1'!$I$24:$I$28,'Semester 1'!$N$24:$N$28)</f>
        <v>D</v>
      </c>
      <c r="J11" s="48" t="str">
        <f t="shared" ref="J11:J19" si="10">IF(G11&gt;=80,"4",IF(G11&gt;=70,"3",IF(G11&gt;=60,"2",IF(G11&gt;=50,"1",IF(G11&lt;50,"0")))))</f>
        <v>1</v>
      </c>
      <c r="K11" s="48">
        <v>10</v>
      </c>
      <c r="L11" s="48">
        <v>20</v>
      </c>
      <c r="M11" s="48">
        <v>45</v>
      </c>
      <c r="N11" s="48">
        <f t="shared" si="2"/>
        <v>75</v>
      </c>
      <c r="O11" s="104">
        <f t="shared" si="3"/>
        <v>0.75</v>
      </c>
      <c r="P11" s="48" t="str">
        <f>LOOKUP(O11,'Semester 1'!$I$24:$I$28,'Semester 1'!$N$24:$N$28)</f>
        <v>B</v>
      </c>
      <c r="Q11" s="48" t="str">
        <f t="shared" ref="Q11:Q19" si="11">IF(N11&gt;=80,"4",IF(N11&gt;=70,"3",IF(N11&gt;=60,"2",IF(N11&gt;=50,"1",IF(N11&lt;50,"0")))))</f>
        <v>3</v>
      </c>
      <c r="R11" s="48">
        <v>13</v>
      </c>
      <c r="S11" s="48">
        <v>15</v>
      </c>
      <c r="T11" s="48">
        <v>43</v>
      </c>
      <c r="U11" s="48">
        <f t="shared" si="4"/>
        <v>71</v>
      </c>
      <c r="V11" s="104">
        <f t="shared" si="5"/>
        <v>0.71</v>
      </c>
      <c r="W11" s="48" t="str">
        <f>LOOKUP(V11,'Semester 1'!$I$24:$I$28,'Semester 1'!$N$24:$N$28)</f>
        <v>B</v>
      </c>
      <c r="X11" s="48" t="str">
        <f t="shared" ref="X11:X19" si="12">IF(U11&gt;=80,"4",IF(U11&gt;=70,"3",IF(U11&gt;=60,"2",IF(U11&gt;=50,"1",IF(U11&lt;50,"0")))))</f>
        <v>3</v>
      </c>
      <c r="Y11" s="48">
        <v>13</v>
      </c>
      <c r="Z11" s="48">
        <v>17</v>
      </c>
      <c r="AA11" s="48">
        <v>40</v>
      </c>
      <c r="AB11" s="48">
        <f t="shared" si="6"/>
        <v>70</v>
      </c>
      <c r="AC11" s="104">
        <f t="shared" si="7"/>
        <v>0.7</v>
      </c>
      <c r="AD11" s="48" t="str">
        <f>LOOKUP(AC11,'Semester 1'!$I$24:$I$28,'Semester 1'!$N$24:$N$28)</f>
        <v>B</v>
      </c>
      <c r="AE11" s="48" t="str">
        <f t="shared" ref="AE11:AE19" si="13">IF(AB11&gt;=80,"4",IF(AB11&gt;=70,"3",IF(AB11&gt;=60,"2",IF(AB11&gt;=50,"1",IF(AB11&lt;50,"0")))))</f>
        <v>3</v>
      </c>
      <c r="AF11" s="48">
        <v>13</v>
      </c>
      <c r="AG11" s="48">
        <v>17</v>
      </c>
      <c r="AH11" s="48">
        <v>34</v>
      </c>
      <c r="AI11" s="48">
        <f t="shared" si="8"/>
        <v>64</v>
      </c>
      <c r="AJ11" s="104">
        <f t="shared" si="9"/>
        <v>0.64</v>
      </c>
      <c r="AK11" s="48" t="str">
        <f>LOOKUP(AJ11,'Semester 1'!$I$24:$I$28,'Semester 1'!$N$24:$N$28)</f>
        <v>C</v>
      </c>
      <c r="AL11" s="48" t="str">
        <f t="shared" ref="AL11:AL19" si="14">IF(AI11&gt;=80,"4",IF(AI11&gt;=70,"3",IF(AI11&gt;=60,"2",IF(AI11&gt;=50,"1",IF(AI11&lt;50,"0")))))</f>
        <v>2</v>
      </c>
      <c r="AM11" s="48">
        <f t="shared" ref="AM11:AM19" si="15">J11*$N$23+Q11*$N$24+X11*$N$25+AE11*$N$26+AL11*$N$27</f>
        <v>34</v>
      </c>
      <c r="AN11" s="48">
        <f t="shared" ref="AN11:AN19" si="16">AM11/$N$28</f>
        <v>2.4285714285714284</v>
      </c>
      <c r="AO11" s="48">
        <f>AVERAGE(AN11,'Semester 1'!AP11)</f>
        <v>2.6442857142857141</v>
      </c>
      <c r="AP11" s="48" t="str">
        <f t="shared" ref="AP11:AP19" si="17">IF(LARGE($AN$10:$AN$19,1)=AN11,"First",IF(LARGE($AN$10:$AN$19,2)=AN11,"Second",IF(LARGE($AN$10:$AN$19,3)=AN11,"Third","")))</f>
        <v/>
      </c>
    </row>
    <row r="12" spans="2:42" x14ac:dyDescent="0.3">
      <c r="B12" s="11">
        <f>'Semester 1'!B12</f>
        <v>3</v>
      </c>
      <c r="C12" s="11" t="str">
        <f>'Semester 1'!C12</f>
        <v>Usman Khan</v>
      </c>
      <c r="D12" s="48">
        <v>17</v>
      </c>
      <c r="E12" s="48">
        <v>8</v>
      </c>
      <c r="F12" s="48">
        <v>38</v>
      </c>
      <c r="G12" s="48">
        <f t="shared" si="0"/>
        <v>63</v>
      </c>
      <c r="H12" s="104">
        <f t="shared" si="1"/>
        <v>0.63</v>
      </c>
      <c r="I12" s="48" t="str">
        <f>LOOKUP(H12,'Semester 1'!$I$24:$I$28,'Semester 1'!$N$24:$N$28)</f>
        <v>C</v>
      </c>
      <c r="J12" s="48" t="str">
        <f t="shared" si="10"/>
        <v>2</v>
      </c>
      <c r="K12" s="48">
        <v>23</v>
      </c>
      <c r="L12" s="48">
        <v>23</v>
      </c>
      <c r="M12" s="48">
        <v>48</v>
      </c>
      <c r="N12" s="48">
        <f t="shared" si="2"/>
        <v>94</v>
      </c>
      <c r="O12" s="104">
        <f>N12/100</f>
        <v>0.94</v>
      </c>
      <c r="P12" s="48" t="str">
        <f>LOOKUP(O12,'Semester 1'!$I$24:$I$28,'Semester 1'!$N$24:$N$28)</f>
        <v>A</v>
      </c>
      <c r="Q12" s="48" t="str">
        <f t="shared" si="11"/>
        <v>4</v>
      </c>
      <c r="R12" s="48">
        <v>12</v>
      </c>
      <c r="S12" s="48">
        <v>23</v>
      </c>
      <c r="T12" s="48">
        <v>38</v>
      </c>
      <c r="U12" s="48">
        <f t="shared" si="4"/>
        <v>73</v>
      </c>
      <c r="V12" s="104">
        <f t="shared" si="5"/>
        <v>0.73</v>
      </c>
      <c r="W12" s="48" t="str">
        <f>LOOKUP(V12,'Semester 1'!$I$24:$I$28,'Semester 1'!$N$24:$N$28)</f>
        <v>B</v>
      </c>
      <c r="X12" s="48" t="str">
        <f t="shared" si="12"/>
        <v>3</v>
      </c>
      <c r="Y12" s="48">
        <v>19</v>
      </c>
      <c r="Z12" s="48">
        <v>9</v>
      </c>
      <c r="AA12" s="48">
        <v>43</v>
      </c>
      <c r="AB12" s="48">
        <f t="shared" si="6"/>
        <v>71</v>
      </c>
      <c r="AC12" s="104">
        <f t="shared" si="7"/>
        <v>0.71</v>
      </c>
      <c r="AD12" s="48" t="str">
        <f>LOOKUP(AC12,'Semester 1'!$I$24:$I$28,'Semester 1'!$N$24:$N$28)</f>
        <v>B</v>
      </c>
      <c r="AE12" s="48" t="str">
        <f t="shared" si="13"/>
        <v>3</v>
      </c>
      <c r="AF12" s="48">
        <v>19</v>
      </c>
      <c r="AG12" s="48">
        <v>9</v>
      </c>
      <c r="AH12" s="48">
        <v>34</v>
      </c>
      <c r="AI12" s="48">
        <f t="shared" si="8"/>
        <v>62</v>
      </c>
      <c r="AJ12" s="104">
        <f t="shared" si="9"/>
        <v>0.62</v>
      </c>
      <c r="AK12" s="48" t="str">
        <f>LOOKUP(AJ12,'Semester 1'!$I$24:$I$28,'Semester 1'!$N$24:$N$28)</f>
        <v>C</v>
      </c>
      <c r="AL12" s="48" t="str">
        <f t="shared" si="14"/>
        <v>2</v>
      </c>
      <c r="AM12" s="48">
        <f t="shared" si="15"/>
        <v>40</v>
      </c>
      <c r="AN12" s="48">
        <f t="shared" si="16"/>
        <v>2.8571428571428572</v>
      </c>
      <c r="AO12" s="48">
        <f>AVERAGE(AN12,'Semester 1'!AP12)</f>
        <v>2.6435714285714287</v>
      </c>
      <c r="AP12" s="48" t="str">
        <f t="shared" si="17"/>
        <v>Third</v>
      </c>
    </row>
    <row r="13" spans="2:42" x14ac:dyDescent="0.3">
      <c r="B13" s="11">
        <f>'Semester 1'!B13</f>
        <v>4</v>
      </c>
      <c r="C13" s="11" t="str">
        <f>'Semester 1'!C13</f>
        <v>Shahid Saeed</v>
      </c>
      <c r="D13" s="48">
        <v>12</v>
      </c>
      <c r="E13" s="48">
        <v>15</v>
      </c>
      <c r="F13" s="48">
        <v>41</v>
      </c>
      <c r="G13" s="48">
        <f t="shared" si="0"/>
        <v>68</v>
      </c>
      <c r="H13" s="104">
        <f t="shared" si="1"/>
        <v>0.68</v>
      </c>
      <c r="I13" s="48" t="str">
        <f>LOOKUP(H13,'Semester 1'!$I$24:$I$28,'Semester 1'!$N$24:$N$28)</f>
        <v>C</v>
      </c>
      <c r="J13" s="48" t="str">
        <f t="shared" si="10"/>
        <v>2</v>
      </c>
      <c r="K13" s="48">
        <v>16</v>
      </c>
      <c r="L13" s="48">
        <v>14</v>
      </c>
      <c r="M13" s="48">
        <v>36</v>
      </c>
      <c r="N13" s="48">
        <f t="shared" si="2"/>
        <v>66</v>
      </c>
      <c r="O13" s="104">
        <f t="shared" si="3"/>
        <v>0.66</v>
      </c>
      <c r="P13" s="48" t="str">
        <f>LOOKUP(O13,'Semester 1'!$I$24:$I$28,'Semester 1'!$N$24:$N$28)</f>
        <v>C</v>
      </c>
      <c r="Q13" s="48" t="str">
        <f t="shared" si="11"/>
        <v>2</v>
      </c>
      <c r="R13" s="48">
        <v>18</v>
      </c>
      <c r="S13" s="48">
        <v>9</v>
      </c>
      <c r="T13" s="48">
        <v>35</v>
      </c>
      <c r="U13" s="48">
        <f t="shared" si="4"/>
        <v>62</v>
      </c>
      <c r="V13" s="104">
        <f t="shared" si="5"/>
        <v>0.62</v>
      </c>
      <c r="W13" s="48" t="str">
        <f>LOOKUP(V13,'Semester 1'!$I$24:$I$28,'Semester 1'!$N$24:$N$28)</f>
        <v>C</v>
      </c>
      <c r="X13" s="48" t="str">
        <f t="shared" si="12"/>
        <v>2</v>
      </c>
      <c r="Y13" s="48">
        <v>21</v>
      </c>
      <c r="Z13" s="48">
        <v>11</v>
      </c>
      <c r="AA13" s="48">
        <v>30</v>
      </c>
      <c r="AB13" s="48">
        <f t="shared" si="6"/>
        <v>62</v>
      </c>
      <c r="AC13" s="104">
        <f t="shared" si="7"/>
        <v>0.62</v>
      </c>
      <c r="AD13" s="48" t="str">
        <f>LOOKUP(AC13,'Semester 1'!$I$24:$I$28,'Semester 1'!$N$24:$N$28)</f>
        <v>C</v>
      </c>
      <c r="AE13" s="48" t="str">
        <f t="shared" si="13"/>
        <v>2</v>
      </c>
      <c r="AF13" s="48">
        <v>21</v>
      </c>
      <c r="AG13" s="48">
        <v>11</v>
      </c>
      <c r="AH13" s="48">
        <v>40</v>
      </c>
      <c r="AI13" s="48">
        <f t="shared" si="8"/>
        <v>72</v>
      </c>
      <c r="AJ13" s="104">
        <f t="shared" si="9"/>
        <v>0.72</v>
      </c>
      <c r="AK13" s="48" t="str">
        <f>LOOKUP(AJ13,'Semester 1'!$I$24:$I$28,'Semester 1'!$N$24:$N$28)</f>
        <v>B</v>
      </c>
      <c r="AL13" s="48" t="str">
        <f t="shared" si="14"/>
        <v>3</v>
      </c>
      <c r="AM13" s="48">
        <f t="shared" si="15"/>
        <v>30</v>
      </c>
      <c r="AN13" s="48">
        <f t="shared" si="16"/>
        <v>2.1428571428571428</v>
      </c>
      <c r="AO13" s="48">
        <f>AVERAGE(AN13,'Semester 1'!AP13)</f>
        <v>2.7514285714285713</v>
      </c>
      <c r="AP13" s="48" t="str">
        <f t="shared" si="17"/>
        <v/>
      </c>
    </row>
    <row r="14" spans="2:42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7</v>
      </c>
      <c r="F14" s="48">
        <v>27</v>
      </c>
      <c r="G14" s="48">
        <f t="shared" si="0"/>
        <v>47</v>
      </c>
      <c r="H14" s="104">
        <f t="shared" si="1"/>
        <v>0.47</v>
      </c>
      <c r="I14" s="48" t="str">
        <f>LOOKUP(H14,'Semester 1'!$I$24:$I$28,'Semester 1'!$N$24:$N$28)</f>
        <v>F</v>
      </c>
      <c r="J14" s="48" t="str">
        <f t="shared" si="10"/>
        <v>0</v>
      </c>
      <c r="K14" s="48">
        <v>11</v>
      </c>
      <c r="L14" s="48">
        <v>23</v>
      </c>
      <c r="M14" s="48">
        <v>30</v>
      </c>
      <c r="N14" s="48">
        <f t="shared" si="2"/>
        <v>64</v>
      </c>
      <c r="O14" s="104">
        <f t="shared" si="3"/>
        <v>0.64</v>
      </c>
      <c r="P14" s="48" t="str">
        <f>LOOKUP(O14,'Semester 1'!$I$24:$I$28,'Semester 1'!$N$24:$N$28)</f>
        <v>C</v>
      </c>
      <c r="Q14" s="48" t="str">
        <f t="shared" si="11"/>
        <v>2</v>
      </c>
      <c r="R14" s="48">
        <v>23</v>
      </c>
      <c r="S14" s="48">
        <v>9</v>
      </c>
      <c r="T14" s="48">
        <v>38</v>
      </c>
      <c r="U14" s="48">
        <f t="shared" si="4"/>
        <v>70</v>
      </c>
      <c r="V14" s="104">
        <f t="shared" si="5"/>
        <v>0.7</v>
      </c>
      <c r="W14" s="48" t="str">
        <f>LOOKUP(V14,'Semester 1'!$I$24:$I$28,'Semester 1'!$N$24:$N$28)</f>
        <v>B</v>
      </c>
      <c r="X14" s="48" t="str">
        <f t="shared" si="12"/>
        <v>3</v>
      </c>
      <c r="Y14" s="48">
        <v>20</v>
      </c>
      <c r="Z14" s="48">
        <v>13</v>
      </c>
      <c r="AA14" s="48">
        <v>29</v>
      </c>
      <c r="AB14" s="48">
        <f t="shared" si="6"/>
        <v>62</v>
      </c>
      <c r="AC14" s="104">
        <f t="shared" si="7"/>
        <v>0.62</v>
      </c>
      <c r="AD14" s="48" t="str">
        <f>LOOKUP(AC14,'Semester 1'!$I$24:$I$28,'Semester 1'!$N$24:$N$28)</f>
        <v>C</v>
      </c>
      <c r="AE14" s="48" t="str">
        <f t="shared" si="13"/>
        <v>2</v>
      </c>
      <c r="AF14" s="48">
        <v>20</v>
      </c>
      <c r="AG14" s="48">
        <v>13</v>
      </c>
      <c r="AH14" s="48">
        <v>46</v>
      </c>
      <c r="AI14" s="48">
        <f t="shared" si="8"/>
        <v>79</v>
      </c>
      <c r="AJ14" s="104">
        <f t="shared" si="9"/>
        <v>0.79</v>
      </c>
      <c r="AK14" s="48" t="str">
        <f>LOOKUP(AJ14,'Semester 1'!$I$24:$I$28,'Semester 1'!$N$24:$N$28)</f>
        <v>B</v>
      </c>
      <c r="AL14" s="48" t="str">
        <f t="shared" si="14"/>
        <v>3</v>
      </c>
      <c r="AM14" s="48">
        <f t="shared" si="15"/>
        <v>27</v>
      </c>
      <c r="AN14" s="48">
        <f t="shared" si="16"/>
        <v>1.9285714285714286</v>
      </c>
      <c r="AO14" s="48">
        <f>AVERAGE(AN14,'Semester 1'!AP14)</f>
        <v>2.254285714285714</v>
      </c>
      <c r="AP14" s="48" t="str">
        <f t="shared" si="17"/>
        <v/>
      </c>
    </row>
    <row r="15" spans="2:42" x14ac:dyDescent="0.3">
      <c r="B15" s="11">
        <f>'Semester 1'!B15</f>
        <v>6</v>
      </c>
      <c r="C15" s="11" t="str">
        <f>'Semester 1'!C15</f>
        <v>Muhammad Saad</v>
      </c>
      <c r="D15" s="48">
        <v>11</v>
      </c>
      <c r="E15" s="48">
        <v>21</v>
      </c>
      <c r="F15" s="48">
        <v>40</v>
      </c>
      <c r="G15" s="48">
        <f t="shared" si="0"/>
        <v>72</v>
      </c>
      <c r="H15" s="104">
        <f t="shared" si="1"/>
        <v>0.72</v>
      </c>
      <c r="I15" s="48" t="str">
        <f>LOOKUP(H15,'Semester 1'!$I$24:$I$28,'Semester 1'!$N$24:$N$28)</f>
        <v>B</v>
      </c>
      <c r="J15" s="48" t="str">
        <f t="shared" si="10"/>
        <v>3</v>
      </c>
      <c r="K15" s="48">
        <v>15</v>
      </c>
      <c r="L15" s="48">
        <v>17</v>
      </c>
      <c r="M15" s="48">
        <v>28</v>
      </c>
      <c r="N15" s="48">
        <f t="shared" si="2"/>
        <v>60</v>
      </c>
      <c r="O15" s="104">
        <f t="shared" si="3"/>
        <v>0.6</v>
      </c>
      <c r="P15" s="48" t="str">
        <f>LOOKUP(O15,'Semester 1'!$I$24:$I$28,'Semester 1'!$N$24:$N$28)</f>
        <v>C</v>
      </c>
      <c r="Q15" s="48" t="str">
        <f t="shared" si="11"/>
        <v>2</v>
      </c>
      <c r="R15" s="48">
        <v>8</v>
      </c>
      <c r="S15" s="48">
        <v>20</v>
      </c>
      <c r="T15" s="48">
        <v>29</v>
      </c>
      <c r="U15" s="48">
        <f t="shared" si="4"/>
        <v>57</v>
      </c>
      <c r="V15" s="104">
        <f t="shared" si="5"/>
        <v>0.56999999999999995</v>
      </c>
      <c r="W15" s="48" t="str">
        <f>LOOKUP(V15,'Semester 1'!$I$24:$I$28,'Semester 1'!$N$24:$N$28)</f>
        <v>D</v>
      </c>
      <c r="X15" s="48" t="str">
        <f t="shared" si="12"/>
        <v>1</v>
      </c>
      <c r="Y15" s="48">
        <v>10</v>
      </c>
      <c r="Z15" s="48">
        <v>16</v>
      </c>
      <c r="AA15" s="48">
        <v>42</v>
      </c>
      <c r="AB15" s="48">
        <f t="shared" si="6"/>
        <v>68</v>
      </c>
      <c r="AC15" s="104">
        <f t="shared" si="7"/>
        <v>0.68</v>
      </c>
      <c r="AD15" s="48" t="str">
        <f>LOOKUP(AC15,'Semester 1'!$I$24:$I$28,'Semester 1'!$N$24:$N$28)</f>
        <v>C</v>
      </c>
      <c r="AE15" s="48" t="str">
        <f t="shared" si="13"/>
        <v>2</v>
      </c>
      <c r="AF15" s="48">
        <v>10</v>
      </c>
      <c r="AG15" s="48">
        <v>16</v>
      </c>
      <c r="AH15" s="48">
        <v>36</v>
      </c>
      <c r="AI15" s="48">
        <f t="shared" si="8"/>
        <v>62</v>
      </c>
      <c r="AJ15" s="104">
        <f t="shared" si="9"/>
        <v>0.62</v>
      </c>
      <c r="AK15" s="48" t="str">
        <f>LOOKUP(AJ15,'Semester 1'!$I$24:$I$28,'Semester 1'!$N$24:$N$28)</f>
        <v>C</v>
      </c>
      <c r="AL15" s="48" t="str">
        <f t="shared" si="14"/>
        <v>2</v>
      </c>
      <c r="AM15" s="48">
        <f t="shared" si="15"/>
        <v>28</v>
      </c>
      <c r="AN15" s="48">
        <f t="shared" si="16"/>
        <v>2</v>
      </c>
      <c r="AO15" s="48">
        <f>AVERAGE(AN15,'Semester 1'!AP15)</f>
        <v>2.1799999999999997</v>
      </c>
      <c r="AP15" s="48" t="str">
        <f t="shared" si="17"/>
        <v/>
      </c>
    </row>
    <row r="16" spans="2:42" x14ac:dyDescent="0.3">
      <c r="B16" s="11">
        <f>'Semester 1'!B16</f>
        <v>7</v>
      </c>
      <c r="C16" s="11" t="str">
        <f>'Semester 1'!C16</f>
        <v>Abdul Moiz</v>
      </c>
      <c r="D16" s="48">
        <v>7</v>
      </c>
      <c r="E16" s="48">
        <v>8</v>
      </c>
      <c r="F16" s="48">
        <v>27</v>
      </c>
      <c r="G16" s="48">
        <f t="shared" si="0"/>
        <v>42</v>
      </c>
      <c r="H16" s="104">
        <f t="shared" si="1"/>
        <v>0.42</v>
      </c>
      <c r="I16" s="48" t="str">
        <f>LOOKUP(H16,'Semester 1'!$I$24:$I$28,'Semester 1'!$N$24:$N$28)</f>
        <v>F</v>
      </c>
      <c r="J16" s="48" t="str">
        <f t="shared" si="10"/>
        <v>0</v>
      </c>
      <c r="K16" s="48">
        <v>15</v>
      </c>
      <c r="L16" s="48">
        <v>13</v>
      </c>
      <c r="M16" s="48">
        <v>39</v>
      </c>
      <c r="N16" s="48">
        <f t="shared" si="2"/>
        <v>67</v>
      </c>
      <c r="O16" s="104">
        <f t="shared" si="3"/>
        <v>0.67</v>
      </c>
      <c r="P16" s="48" t="str">
        <f>LOOKUP(O16,'Semester 1'!$I$24:$I$28,'Semester 1'!$N$24:$N$28)</f>
        <v>C</v>
      </c>
      <c r="Q16" s="48" t="str">
        <f t="shared" si="11"/>
        <v>2</v>
      </c>
      <c r="R16" s="48">
        <v>8</v>
      </c>
      <c r="S16" s="48">
        <v>14</v>
      </c>
      <c r="T16" s="48">
        <v>33</v>
      </c>
      <c r="U16" s="48">
        <f t="shared" si="4"/>
        <v>55</v>
      </c>
      <c r="V16" s="104">
        <f t="shared" si="5"/>
        <v>0.55000000000000004</v>
      </c>
      <c r="W16" s="48" t="str">
        <f>LOOKUP(V16,'Semester 1'!$I$24:$I$28,'Semester 1'!$N$24:$N$28)</f>
        <v>D</v>
      </c>
      <c r="X16" s="48" t="str">
        <f t="shared" si="12"/>
        <v>1</v>
      </c>
      <c r="Y16" s="48">
        <v>8</v>
      </c>
      <c r="Z16" s="48">
        <v>14</v>
      </c>
      <c r="AA16" s="48">
        <v>43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8</v>
      </c>
      <c r="AG16" s="48">
        <v>14</v>
      </c>
      <c r="AH16" s="48">
        <v>35</v>
      </c>
      <c r="AI16" s="48">
        <f t="shared" si="8"/>
        <v>57</v>
      </c>
      <c r="AJ16" s="104">
        <f t="shared" si="9"/>
        <v>0.56999999999999995</v>
      </c>
      <c r="AK16" s="48" t="str">
        <f>LOOKUP(AJ16,'Semester 1'!$I$24:$I$28,'Semester 1'!$N$24:$N$28)</f>
        <v>D</v>
      </c>
      <c r="AL16" s="48" t="str">
        <f t="shared" si="14"/>
        <v>1</v>
      </c>
      <c r="AM16" s="48">
        <f t="shared" si="15"/>
        <v>17</v>
      </c>
      <c r="AN16" s="48">
        <f t="shared" si="16"/>
        <v>1.2142857142857142</v>
      </c>
      <c r="AO16" s="48">
        <f>AVERAGE(AN16,'Semester 1'!AP16)</f>
        <v>1.8971428571428568</v>
      </c>
      <c r="AP16" s="48" t="str">
        <f t="shared" si="17"/>
        <v/>
      </c>
    </row>
    <row r="17" spans="2:42" x14ac:dyDescent="0.3">
      <c r="B17" s="11">
        <f>'Semester 1'!B17</f>
        <v>8</v>
      </c>
      <c r="C17" s="11" t="str">
        <f>'Semester 1'!C17</f>
        <v>Usama Khan</v>
      </c>
      <c r="D17" s="48">
        <v>15</v>
      </c>
      <c r="E17" s="48">
        <v>17</v>
      </c>
      <c r="F17" s="48">
        <v>45</v>
      </c>
      <c r="G17" s="48">
        <f t="shared" si="0"/>
        <v>77</v>
      </c>
      <c r="H17" s="104">
        <f t="shared" si="1"/>
        <v>0.77</v>
      </c>
      <c r="I17" s="48" t="str">
        <f>LOOKUP(H17,'Semester 1'!$I$24:$I$28,'Semester 1'!$N$24:$N$28)</f>
        <v>B</v>
      </c>
      <c r="J17" s="48" t="str">
        <f t="shared" si="10"/>
        <v>3</v>
      </c>
      <c r="K17" s="48">
        <v>17</v>
      </c>
      <c r="L17" s="48">
        <v>9</v>
      </c>
      <c r="M17" s="48">
        <v>33</v>
      </c>
      <c r="N17" s="48">
        <f t="shared" si="2"/>
        <v>59</v>
      </c>
      <c r="O17" s="104">
        <f t="shared" si="3"/>
        <v>0.59</v>
      </c>
      <c r="P17" s="48" t="str">
        <f>LOOKUP(O17,'Semester 1'!$I$24:$I$28,'Semester 1'!$N$24:$N$28)</f>
        <v>D</v>
      </c>
      <c r="Q17" s="48" t="str">
        <f t="shared" si="11"/>
        <v>1</v>
      </c>
      <c r="R17" s="48">
        <v>23</v>
      </c>
      <c r="S17" s="48">
        <v>13</v>
      </c>
      <c r="T17" s="48">
        <v>36</v>
      </c>
      <c r="U17" s="48">
        <f t="shared" si="4"/>
        <v>72</v>
      </c>
      <c r="V17" s="104">
        <f t="shared" si="5"/>
        <v>0.72</v>
      </c>
      <c r="W17" s="48" t="str">
        <f>LOOKUP(V17,'Semester 1'!$I$24:$I$28,'Semester 1'!$N$24:$N$28)</f>
        <v>B</v>
      </c>
      <c r="X17" s="48" t="str">
        <f t="shared" si="12"/>
        <v>3</v>
      </c>
      <c r="Y17" s="48">
        <v>7</v>
      </c>
      <c r="Z17" s="48">
        <v>10</v>
      </c>
      <c r="AA17" s="48">
        <v>41</v>
      </c>
      <c r="AB17" s="48">
        <f t="shared" si="6"/>
        <v>58</v>
      </c>
      <c r="AC17" s="104">
        <f t="shared" si="7"/>
        <v>0.57999999999999996</v>
      </c>
      <c r="AD17" s="48" t="str">
        <f>LOOKUP(AC17,'Semester 1'!$I$24:$I$28,'Semester 1'!$N$24:$N$28)</f>
        <v>D</v>
      </c>
      <c r="AE17" s="48" t="str">
        <f t="shared" si="13"/>
        <v>1</v>
      </c>
      <c r="AF17" s="48">
        <v>7</v>
      </c>
      <c r="AG17" s="48">
        <v>10</v>
      </c>
      <c r="AH17" s="48">
        <v>46</v>
      </c>
      <c r="AI17" s="48">
        <f t="shared" si="8"/>
        <v>63</v>
      </c>
      <c r="AJ17" s="104">
        <f t="shared" si="9"/>
        <v>0.63</v>
      </c>
      <c r="AK17" s="48" t="str">
        <f>LOOKUP(AJ17,'Semester 1'!$I$24:$I$28,'Semester 1'!$N$24:$N$28)</f>
        <v>C</v>
      </c>
      <c r="AL17" s="48" t="str">
        <f t="shared" si="14"/>
        <v>2</v>
      </c>
      <c r="AM17" s="48">
        <f t="shared" si="15"/>
        <v>28</v>
      </c>
      <c r="AN17" s="48">
        <f t="shared" si="16"/>
        <v>2</v>
      </c>
      <c r="AO17" s="48">
        <f>AVERAGE(AN17,'Semester 1'!AP17)</f>
        <v>2.11</v>
      </c>
      <c r="AP17" s="48" t="str">
        <f t="shared" si="17"/>
        <v/>
      </c>
    </row>
    <row r="18" spans="2:42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7</v>
      </c>
      <c r="F18" s="48">
        <v>34</v>
      </c>
      <c r="G18" s="48">
        <f t="shared" si="0"/>
        <v>59</v>
      </c>
      <c r="H18" s="104">
        <f t="shared" si="1"/>
        <v>0.59</v>
      </c>
      <c r="I18" s="48" t="str">
        <f>LOOKUP(H18,'Semester 1'!$I$24:$I$28,'Semester 1'!$N$24:$N$28)</f>
        <v>D</v>
      </c>
      <c r="J18" s="48" t="str">
        <f t="shared" si="10"/>
        <v>1</v>
      </c>
      <c r="K18" s="48">
        <v>16</v>
      </c>
      <c r="L18" s="48">
        <v>21</v>
      </c>
      <c r="M18" s="48">
        <v>29</v>
      </c>
      <c r="N18" s="48">
        <f t="shared" si="2"/>
        <v>66</v>
      </c>
      <c r="O18" s="104">
        <f t="shared" si="3"/>
        <v>0.66</v>
      </c>
      <c r="P18" s="48" t="str">
        <f>LOOKUP(O18,'Semester 1'!$I$24:$I$28,'Semester 1'!$N$24:$N$28)</f>
        <v>C</v>
      </c>
      <c r="Q18" s="48" t="str">
        <f t="shared" si="11"/>
        <v>2</v>
      </c>
      <c r="R18" s="48">
        <v>11</v>
      </c>
      <c r="S18" s="48">
        <v>21</v>
      </c>
      <c r="T18" s="48">
        <v>32</v>
      </c>
      <c r="U18" s="48">
        <f t="shared" si="4"/>
        <v>64</v>
      </c>
      <c r="V18" s="104">
        <f t="shared" si="5"/>
        <v>0.64</v>
      </c>
      <c r="W18" s="48" t="str">
        <f>LOOKUP(V18,'Semester 1'!$I$24:$I$28,'Semester 1'!$N$24:$N$28)</f>
        <v>C</v>
      </c>
      <c r="X18" s="48" t="str">
        <f t="shared" si="12"/>
        <v>2</v>
      </c>
      <c r="Y18" s="48">
        <v>16</v>
      </c>
      <c r="Z18" s="48">
        <v>14</v>
      </c>
      <c r="AA18" s="48">
        <v>30</v>
      </c>
      <c r="AB18" s="48">
        <f t="shared" si="6"/>
        <v>60</v>
      </c>
      <c r="AC18" s="104">
        <f t="shared" si="7"/>
        <v>0.6</v>
      </c>
      <c r="AD18" s="48" t="str">
        <f>LOOKUP(AC18,'Semester 1'!$I$24:$I$28,'Semester 1'!$N$24:$N$28)</f>
        <v>C</v>
      </c>
      <c r="AE18" s="48" t="str">
        <f t="shared" si="13"/>
        <v>2</v>
      </c>
      <c r="AF18" s="48">
        <v>16</v>
      </c>
      <c r="AG18" s="48">
        <v>14</v>
      </c>
      <c r="AH18" s="48">
        <v>27</v>
      </c>
      <c r="AI18" s="48">
        <f t="shared" si="8"/>
        <v>57</v>
      </c>
      <c r="AJ18" s="104">
        <f t="shared" si="9"/>
        <v>0.56999999999999995</v>
      </c>
      <c r="AK18" s="48" t="str">
        <f>LOOKUP(AJ18,'Semester 1'!$I$24:$I$28,'Semester 1'!$N$24:$N$28)</f>
        <v>D</v>
      </c>
      <c r="AL18" s="48" t="str">
        <f t="shared" si="14"/>
        <v>1</v>
      </c>
      <c r="AM18" s="48">
        <f t="shared" si="15"/>
        <v>23</v>
      </c>
      <c r="AN18" s="48">
        <f t="shared" si="16"/>
        <v>1.6428571428571428</v>
      </c>
      <c r="AO18" s="48">
        <f>AVERAGE(AN18,'Semester 1'!AP18)</f>
        <v>2.3214285714285712</v>
      </c>
      <c r="AP18" s="48" t="str">
        <f t="shared" si="17"/>
        <v/>
      </c>
    </row>
    <row r="19" spans="2:42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22</v>
      </c>
      <c r="F19" s="89">
        <v>44</v>
      </c>
      <c r="G19" s="89">
        <f t="shared" si="0"/>
        <v>86</v>
      </c>
      <c r="H19" s="105">
        <f t="shared" si="1"/>
        <v>0.86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22</v>
      </c>
      <c r="L19" s="89">
        <v>23</v>
      </c>
      <c r="M19" s="89">
        <v>43</v>
      </c>
      <c r="N19" s="89">
        <f t="shared" si="2"/>
        <v>88</v>
      </c>
      <c r="O19" s="105">
        <f t="shared" si="3"/>
        <v>0.88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23</v>
      </c>
      <c r="S19" s="89">
        <v>20</v>
      </c>
      <c r="T19" s="89">
        <v>43</v>
      </c>
      <c r="U19" s="89">
        <f t="shared" si="4"/>
        <v>86</v>
      </c>
      <c r="V19" s="105">
        <f t="shared" si="5"/>
        <v>0.86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10</v>
      </c>
      <c r="Z19" s="89">
        <v>19</v>
      </c>
      <c r="AA19" s="89">
        <v>47</v>
      </c>
      <c r="AB19" s="89">
        <f t="shared" si="6"/>
        <v>76</v>
      </c>
      <c r="AC19" s="105">
        <f t="shared" si="7"/>
        <v>0.76</v>
      </c>
      <c r="AD19" s="89" t="str">
        <f>LOOKUP(AC19,'Semester 1'!$I$24:$I$28,'Semester 1'!$N$24:$N$28)</f>
        <v>B</v>
      </c>
      <c r="AE19" s="89" t="str">
        <f t="shared" si="13"/>
        <v>3</v>
      </c>
      <c r="AF19" s="89">
        <v>22</v>
      </c>
      <c r="AG19" s="89">
        <v>21</v>
      </c>
      <c r="AH19" s="89">
        <v>45</v>
      </c>
      <c r="AI19" s="89">
        <f t="shared" si="8"/>
        <v>88</v>
      </c>
      <c r="AJ19" s="105">
        <f t="shared" si="9"/>
        <v>0.88</v>
      </c>
      <c r="AK19" s="89" t="str">
        <f>LOOKUP(AJ19,'Semester 1'!$I$24:$I$28,'Semester 1'!$N$24:$N$28)</f>
        <v>A</v>
      </c>
      <c r="AL19" s="89" t="str">
        <f t="shared" si="14"/>
        <v>4</v>
      </c>
      <c r="AM19" s="89">
        <f t="shared" si="15"/>
        <v>53</v>
      </c>
      <c r="AN19" s="89">
        <f t="shared" si="16"/>
        <v>3.7857142857142856</v>
      </c>
      <c r="AO19" s="89">
        <f>AVERAGE(AN19,'Semester 1'!AP19)</f>
        <v>3.7878571428571428</v>
      </c>
      <c r="AP19" s="89" t="str">
        <f t="shared" si="17"/>
        <v>First</v>
      </c>
    </row>
    <row r="20" spans="2:42" x14ac:dyDescent="0.3">
      <c r="B20" s="17"/>
      <c r="C20" s="17"/>
      <c r="V20" s="8"/>
      <c r="AC20" s="8"/>
      <c r="AJ20" s="8"/>
    </row>
    <row r="22" spans="2:42" ht="15" thickBot="1" x14ac:dyDescent="0.35">
      <c r="H22" s="31" t="s">
        <v>26</v>
      </c>
      <c r="I22" s="157" t="s">
        <v>27</v>
      </c>
      <c r="J22" s="157"/>
      <c r="K22" s="157"/>
      <c r="L22" s="157"/>
      <c r="M22" s="26"/>
      <c r="N22" s="24" t="s">
        <v>33</v>
      </c>
    </row>
    <row r="23" spans="2:42" x14ac:dyDescent="0.3">
      <c r="H23" s="28">
        <v>1</v>
      </c>
      <c r="I23" s="11" t="s">
        <v>34</v>
      </c>
      <c r="J23" s="11"/>
      <c r="K23" s="11"/>
      <c r="L23" s="11"/>
      <c r="M23" s="11"/>
      <c r="N23" s="32">
        <v>3</v>
      </c>
    </row>
    <row r="24" spans="2:42" x14ac:dyDescent="0.3">
      <c r="G24" s="15"/>
      <c r="H24" s="28">
        <v>2</v>
      </c>
      <c r="I24" s="11" t="s">
        <v>36</v>
      </c>
      <c r="J24" s="11"/>
      <c r="K24" s="11"/>
      <c r="L24" s="11"/>
      <c r="M24" s="11"/>
      <c r="N24" s="32">
        <v>3</v>
      </c>
    </row>
    <row r="25" spans="2:42" x14ac:dyDescent="0.3">
      <c r="G25" s="16"/>
      <c r="H25" s="28">
        <v>3</v>
      </c>
      <c r="I25" s="11" t="s">
        <v>37</v>
      </c>
      <c r="J25" s="11"/>
      <c r="K25" s="11"/>
      <c r="L25" s="11"/>
      <c r="M25" s="11"/>
      <c r="N25" s="32">
        <v>3</v>
      </c>
    </row>
    <row r="26" spans="2:42" x14ac:dyDescent="0.3">
      <c r="G26" s="16"/>
      <c r="H26" s="28">
        <v>4</v>
      </c>
      <c r="I26" s="11" t="s">
        <v>38</v>
      </c>
      <c r="J26" s="11"/>
      <c r="K26" s="11"/>
      <c r="L26" s="11"/>
      <c r="M26" s="11"/>
      <c r="N26" s="32">
        <v>3</v>
      </c>
    </row>
    <row r="27" spans="2:42" ht="15" thickBot="1" x14ac:dyDescent="0.35">
      <c r="G27" s="16"/>
      <c r="H27" s="28">
        <v>5</v>
      </c>
      <c r="I27" s="11" t="s">
        <v>39</v>
      </c>
      <c r="J27" s="11"/>
      <c r="K27" s="11"/>
      <c r="L27" s="11"/>
      <c r="M27" s="11"/>
      <c r="N27" s="32">
        <v>2</v>
      </c>
    </row>
    <row r="28" spans="2:42" ht="15" thickBot="1" x14ac:dyDescent="0.35">
      <c r="G28" s="16"/>
      <c r="H28" s="29"/>
      <c r="I28" s="30" t="s">
        <v>32</v>
      </c>
      <c r="J28" s="30"/>
      <c r="K28" s="30"/>
      <c r="L28" s="30"/>
      <c r="M28" s="30"/>
      <c r="N28" s="33">
        <f>SUM(N23:N27)</f>
        <v>14</v>
      </c>
    </row>
    <row r="29" spans="2:42" x14ac:dyDescent="0.3">
      <c r="G29" s="16"/>
      <c r="H29" s="16"/>
      <c r="I29" s="15"/>
      <c r="J29" s="20"/>
      <c r="K29" s="15"/>
      <c r="L29" s="15"/>
    </row>
  </sheetData>
  <mergeCells count="9">
    <mergeCell ref="B2:C3"/>
    <mergeCell ref="I22:L22"/>
    <mergeCell ref="AF8:AL8"/>
    <mergeCell ref="B7:C8"/>
    <mergeCell ref="D8:J8"/>
    <mergeCell ref="K8:Q8"/>
    <mergeCell ref="R8:X8"/>
    <mergeCell ref="Y8:AE8"/>
    <mergeCell ref="B4:C5"/>
  </mergeCells>
  <conditionalFormatting sqref="D10:J13 D14:G16 I14:J16 D17:J19">
    <cfRule type="cellIs" dxfId="26" priority="3" operator="lessThan">
      <formula>0.5</formula>
    </cfRule>
  </conditionalFormatting>
  <conditionalFormatting sqref="K10:AL19">
    <cfRule type="cellIs" dxfId="25" priority="2" operator="lessThan">
      <formula>0.5</formula>
    </cfRule>
  </conditionalFormatting>
  <conditionalFormatting sqref="AL10:AL19">
    <cfRule type="aboveAverage" dxfId="24" priority="4"/>
  </conditionalFormatting>
  <conditionalFormatting sqref="I10:I19 P10:P19 W10:W19 AK10:AK19 AD10:AD19">
    <cfRule type="cellIs" dxfId="23" priority="1" operator="equal">
      <formula>"F"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1424940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2</xdr:col>
                    <xdr:colOff>1424940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P30"/>
  <sheetViews>
    <sheetView workbookViewId="0">
      <selection activeCell="AL10" sqref="AL10"/>
    </sheetView>
  </sheetViews>
  <sheetFormatPr defaultColWidth="8.77734375" defaultRowHeight="14.4" x14ac:dyDescent="0.3"/>
  <cols>
    <col min="2" max="2" width="8.44140625" customWidth="1"/>
    <col min="3" max="3" width="19.33203125" customWidth="1"/>
    <col min="4" max="6" width="7.6640625" bestFit="1" customWidth="1"/>
    <col min="7" max="7" width="27.4414062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7.77734375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8.332031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11.66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6.33203125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109375" bestFit="1" customWidth="1"/>
    <col min="40" max="41" width="5.33203125" bestFit="1" customWidth="1"/>
  </cols>
  <sheetData>
    <row r="1" spans="2:42" ht="15" thickBot="1" x14ac:dyDescent="0.35"/>
    <row r="2" spans="2:42" x14ac:dyDescent="0.3">
      <c r="B2" s="158"/>
      <c r="C2" s="159"/>
    </row>
    <row r="3" spans="2:42" ht="15" thickBot="1" x14ac:dyDescent="0.35">
      <c r="B3" s="160"/>
      <c r="C3" s="161"/>
    </row>
    <row r="4" spans="2:42" x14ac:dyDescent="0.3">
      <c r="B4" s="158"/>
      <c r="C4" s="159"/>
    </row>
    <row r="5" spans="2:42" ht="15" thickBot="1" x14ac:dyDescent="0.35">
      <c r="B5" s="160"/>
      <c r="C5" s="161"/>
    </row>
    <row r="6" spans="2:42" ht="15" thickBot="1" x14ac:dyDescent="0.35"/>
    <row r="7" spans="2:42" ht="15" thickBot="1" x14ac:dyDescent="0.35">
      <c r="B7" s="148" t="s">
        <v>18</v>
      </c>
      <c r="C7" s="149"/>
    </row>
    <row r="8" spans="2:42" ht="15" thickBot="1" x14ac:dyDescent="0.35">
      <c r="B8" s="150"/>
      <c r="C8" s="151"/>
      <c r="D8" s="152" t="s">
        <v>77</v>
      </c>
      <c r="E8" s="153"/>
      <c r="F8" s="153"/>
      <c r="G8" s="153"/>
      <c r="H8" s="153"/>
      <c r="I8" s="153"/>
      <c r="J8" s="154"/>
      <c r="K8" s="152" t="s">
        <v>42</v>
      </c>
      <c r="L8" s="153"/>
      <c r="M8" s="153"/>
      <c r="N8" s="153"/>
      <c r="O8" s="153"/>
      <c r="P8" s="153"/>
      <c r="Q8" s="154"/>
      <c r="R8" s="152" t="s">
        <v>43</v>
      </c>
      <c r="S8" s="153"/>
      <c r="T8" s="153"/>
      <c r="U8" s="153"/>
      <c r="V8" s="153"/>
      <c r="W8" s="153"/>
      <c r="X8" s="154"/>
      <c r="Y8" s="152" t="s">
        <v>78</v>
      </c>
      <c r="Z8" s="153"/>
      <c r="AA8" s="153"/>
      <c r="AB8" s="153"/>
      <c r="AC8" s="153"/>
      <c r="AD8" s="153"/>
      <c r="AE8" s="154"/>
      <c r="AF8" s="152" t="s">
        <v>45</v>
      </c>
      <c r="AG8" s="153"/>
      <c r="AH8" s="153"/>
      <c r="AI8" s="153"/>
      <c r="AJ8" s="153"/>
      <c r="AK8" s="153"/>
      <c r="AL8" s="154"/>
    </row>
    <row r="9" spans="2:42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2" t="s">
        <v>15</v>
      </c>
      <c r="AN9" s="102" t="s">
        <v>13</v>
      </c>
      <c r="AO9" s="102" t="s">
        <v>14</v>
      </c>
      <c r="AP9" s="103" t="s">
        <v>105</v>
      </c>
    </row>
    <row r="10" spans="2:42" x14ac:dyDescent="0.3">
      <c r="B10" s="11">
        <f>'Semester 1'!B10</f>
        <v>1</v>
      </c>
      <c r="C10" s="11" t="str">
        <f>'Semester 1'!C10</f>
        <v>Muhammad Ali</v>
      </c>
      <c r="D10" s="48">
        <v>22</v>
      </c>
      <c r="E10" s="48">
        <v>15</v>
      </c>
      <c r="F10" s="48">
        <v>33</v>
      </c>
      <c r="G10" s="48">
        <f t="shared" ref="G10:G19" si="0">SUM(D10:F10)</f>
        <v>70</v>
      </c>
      <c r="H10" s="104">
        <f t="shared" ref="H10:H19" si="1">G10/100</f>
        <v>0.7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17</v>
      </c>
      <c r="L10" s="48">
        <v>23</v>
      </c>
      <c r="M10" s="48">
        <v>43</v>
      </c>
      <c r="N10" s="48">
        <f t="shared" ref="N10:N19" si="2">SUM(K10:M10)</f>
        <v>83</v>
      </c>
      <c r="O10" s="104">
        <f t="shared" ref="O10:O19" si="3">N10/100</f>
        <v>0.83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17</v>
      </c>
      <c r="S10" s="48">
        <v>21</v>
      </c>
      <c r="T10" s="48">
        <v>36</v>
      </c>
      <c r="U10" s="48">
        <f t="shared" ref="U10:U19" si="4">SUM(R10:T10)</f>
        <v>74</v>
      </c>
      <c r="V10" s="104">
        <f t="shared" ref="V10:V19" si="5">U10/100</f>
        <v>0.74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24</v>
      </c>
      <c r="Z10" s="48">
        <v>22</v>
      </c>
      <c r="AA10" s="48">
        <v>28</v>
      </c>
      <c r="AB10" s="48">
        <f t="shared" ref="AB10:AB19" si="6">SUM(Y10:AA10)</f>
        <v>74</v>
      </c>
      <c r="AC10" s="104">
        <f t="shared" ref="AC10:AC19" si="7">AB10/100</f>
        <v>0.74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13</v>
      </c>
      <c r="AG10" s="48">
        <v>23</v>
      </c>
      <c r="AH10" s="48">
        <v>28</v>
      </c>
      <c r="AI10" s="48">
        <f t="shared" ref="AI10:AI19" si="8">SUM(AF10:AH10)</f>
        <v>64</v>
      </c>
      <c r="AJ10" s="104">
        <f t="shared" ref="AJ10:AJ19" si="9">AI10/100</f>
        <v>0.64</v>
      </c>
      <c r="AK10" s="48" t="str">
        <f>LOOKUP(AJ10,'Semester 1'!$I$24:$I$28,'Semester 1'!$N$24:$N$28)</f>
        <v>C</v>
      </c>
      <c r="AL10" s="48" t="str">
        <f>IF(AI10&gt;=80,"4",IF(AI10&gt;=70,"3",IF(AI10&gt;=60,"2",IF(AI10&gt;=50,"1",IF(AI10&lt;50,"0")))))</f>
        <v>2</v>
      </c>
      <c r="AM10" s="48">
        <f>J10*$H$25+Q10*$H$26+X10*$H$27+AE10*$H$28+AL10*$H$29</f>
        <v>45</v>
      </c>
      <c r="AN10" s="48">
        <f>AM10/$H$30</f>
        <v>3</v>
      </c>
      <c r="AO10" s="106">
        <f>AVERAGE(AN10,'Semester 1'!AN10,'Semester 2'!AN12)</f>
        <v>3.285714285714286</v>
      </c>
      <c r="AP10" s="48" t="str">
        <f>IF(LARGE($AN$10:$AN$19,1)=AN10,"First",IF(LARGE($AN$10:$AN$19,2)=AN10,"Second",IF(LARGE($AN$10:$AN$19,3)=AN10,"Third","")))</f>
        <v>Second</v>
      </c>
    </row>
    <row r="11" spans="2:42" x14ac:dyDescent="0.3">
      <c r="B11" s="11">
        <f>'Semester 1'!B11</f>
        <v>2</v>
      </c>
      <c r="C11" s="11" t="str">
        <f>'Semester 1'!C11</f>
        <v>Ali Ahmed</v>
      </c>
      <c r="D11" s="48">
        <v>13</v>
      </c>
      <c r="E11" s="48">
        <v>22</v>
      </c>
      <c r="F11" s="48">
        <v>41</v>
      </c>
      <c r="G11" s="48">
        <f t="shared" si="0"/>
        <v>76</v>
      </c>
      <c r="H11" s="104">
        <f t="shared" si="1"/>
        <v>0.76</v>
      </c>
      <c r="I11" s="48" t="str">
        <f>LOOKUP(H11,'Semester 1'!$I$24:$I$28,'Semester 1'!$N$24:$N$28)</f>
        <v>B</v>
      </c>
      <c r="J11" s="48" t="str">
        <f t="shared" ref="J11:J19" si="10">IF(G11&gt;=80,"4",IF(G11&gt;=70,"3",IF(G11&gt;=60,"2",IF(G11&gt;=50,"1",IF(G11&lt;50,"0")))))</f>
        <v>3</v>
      </c>
      <c r="K11" s="48">
        <v>8</v>
      </c>
      <c r="L11" s="48">
        <v>19</v>
      </c>
      <c r="M11" s="48">
        <v>41</v>
      </c>
      <c r="N11" s="48">
        <f t="shared" si="2"/>
        <v>68</v>
      </c>
      <c r="O11" s="104">
        <f t="shared" si="3"/>
        <v>0.68</v>
      </c>
      <c r="P11" s="48" t="str">
        <f>LOOKUP(O11,'Semester 1'!$I$24:$I$28,'Semester 1'!$N$24:$N$28)</f>
        <v>C</v>
      </c>
      <c r="Q11" s="48" t="str">
        <f t="shared" ref="Q11:Q19" si="11">IF(N11&gt;=80,"4",IF(N11&gt;=70,"3",IF(N11&gt;=60,"2",IF(N11&gt;=50,"1",IF(N11&lt;50,"0")))))</f>
        <v>2</v>
      </c>
      <c r="R11" s="48">
        <v>20</v>
      </c>
      <c r="S11" s="48">
        <v>24</v>
      </c>
      <c r="T11" s="48">
        <v>47</v>
      </c>
      <c r="U11" s="48">
        <f t="shared" si="4"/>
        <v>91</v>
      </c>
      <c r="V11" s="104">
        <f t="shared" si="5"/>
        <v>0.91</v>
      </c>
      <c r="W11" s="48" t="str">
        <f>LOOKUP(V11,'Semester 1'!$I$24:$I$28,'Semester 1'!$N$24:$N$28)</f>
        <v>A</v>
      </c>
      <c r="X11" s="48" t="str">
        <f t="shared" ref="X11:X19" si="12">IF(U11&gt;=80,"4",IF(U11&gt;=70,"3",IF(U11&gt;=60,"2",IF(U11&gt;=50,"1",IF(U11&lt;50,"0")))))</f>
        <v>4</v>
      </c>
      <c r="Y11" s="48">
        <v>22</v>
      </c>
      <c r="Z11" s="48">
        <v>9</v>
      </c>
      <c r="AA11" s="48">
        <v>33</v>
      </c>
      <c r="AB11" s="48">
        <f t="shared" si="6"/>
        <v>64</v>
      </c>
      <c r="AC11" s="104">
        <f t="shared" si="7"/>
        <v>0.64</v>
      </c>
      <c r="AD11" s="48" t="str">
        <f>LOOKUP(AC11,'Semester 1'!$I$24:$I$28,'Semester 1'!$N$24:$N$28)</f>
        <v>C</v>
      </c>
      <c r="AE11" s="48" t="str">
        <f t="shared" ref="AE11:AE19" si="13">IF(AB11&gt;=80,"4",IF(AB11&gt;=70,"3",IF(AB11&gt;=60,"2",IF(AB11&gt;=50,"1",IF(AB11&lt;50,"0")))))</f>
        <v>2</v>
      </c>
      <c r="AF11" s="48">
        <v>24</v>
      </c>
      <c r="AG11" s="48">
        <v>11</v>
      </c>
      <c r="AH11" s="48">
        <v>31</v>
      </c>
      <c r="AI11" s="48">
        <f t="shared" si="8"/>
        <v>66</v>
      </c>
      <c r="AJ11" s="104">
        <f t="shared" si="9"/>
        <v>0.66</v>
      </c>
      <c r="AK11" s="48" t="str">
        <f>LOOKUP(AJ11,'Semester 1'!$I$24:$I$28,'Semester 1'!$N$24:$N$28)</f>
        <v>C</v>
      </c>
      <c r="AL11" s="48" t="str">
        <f t="shared" ref="AL11:AL19" si="14">IF(AI11&gt;=80,"4",IF(AI11&gt;=70,"3",IF(AI11&gt;=60,"2",IF(AI11&gt;=50,"1",IF(AI11&lt;50,"0")))))</f>
        <v>2</v>
      </c>
      <c r="AM11" s="48">
        <f t="shared" ref="AM11:AM19" si="15">J11*$H$25+Q11*$H$26+X11*$H$27+AE11*$H$28+AL11*$H$29</f>
        <v>39</v>
      </c>
      <c r="AN11" s="48">
        <f t="shared" ref="AN11:AN19" si="16">AM11/$H$30</f>
        <v>2.6</v>
      </c>
      <c r="AO11" s="106">
        <f>AVERAGE(AN11,'Semester 1'!AN11,'Semester 2'!AN13)</f>
        <v>2.5333333333333332</v>
      </c>
      <c r="AP11" s="48" t="str">
        <f t="shared" ref="AP11:AP19" si="17">IF(LARGE($AN$10:$AN$19,1)=AN11,"First",IF(LARGE($AN$10:$AN$19,2)=AN11,"Second",IF(LARGE($AN$10:$AN$19,3)=AN11,"Third","")))</f>
        <v/>
      </c>
    </row>
    <row r="12" spans="2:42" x14ac:dyDescent="0.3">
      <c r="B12" s="11">
        <f>'Semester 1'!B12</f>
        <v>3</v>
      </c>
      <c r="C12" s="11" t="str">
        <f>'Semester 1'!C12</f>
        <v>Usman Khan</v>
      </c>
      <c r="D12" s="48">
        <v>12</v>
      </c>
      <c r="E12" s="48">
        <v>23</v>
      </c>
      <c r="F12" s="48">
        <v>43</v>
      </c>
      <c r="G12" s="48">
        <f t="shared" si="0"/>
        <v>78</v>
      </c>
      <c r="H12" s="104">
        <f t="shared" si="1"/>
        <v>0.78</v>
      </c>
      <c r="I12" s="48" t="str">
        <f>LOOKUP(H12,'Semester 1'!$I$24:$I$28,'Semester 1'!$N$24:$N$28)</f>
        <v>B</v>
      </c>
      <c r="J12" s="48" t="str">
        <f t="shared" si="10"/>
        <v>3</v>
      </c>
      <c r="K12" s="48">
        <v>19</v>
      </c>
      <c r="L12" s="48">
        <v>14</v>
      </c>
      <c r="M12" s="48">
        <v>41</v>
      </c>
      <c r="N12" s="48">
        <f t="shared" si="2"/>
        <v>74</v>
      </c>
      <c r="O12" s="104">
        <f t="shared" si="3"/>
        <v>0.74</v>
      </c>
      <c r="P12" s="48" t="str">
        <f>LOOKUP(O12,'Semester 1'!$I$24:$I$28,'Semester 1'!$N$24:$N$28)</f>
        <v>B</v>
      </c>
      <c r="Q12" s="48" t="str">
        <f t="shared" si="11"/>
        <v>3</v>
      </c>
      <c r="R12" s="48">
        <v>12</v>
      </c>
      <c r="S12" s="48">
        <v>15</v>
      </c>
      <c r="T12" s="48">
        <v>49</v>
      </c>
      <c r="U12" s="48">
        <f t="shared" si="4"/>
        <v>76</v>
      </c>
      <c r="V12" s="104">
        <f t="shared" si="5"/>
        <v>0.76</v>
      </c>
      <c r="W12" s="48" t="str">
        <f>LOOKUP(V12,'Semester 1'!$I$24:$I$28,'Semester 1'!$N$24:$N$28)</f>
        <v>B</v>
      </c>
      <c r="X12" s="48" t="str">
        <f t="shared" si="12"/>
        <v>3</v>
      </c>
      <c r="Y12" s="48">
        <v>8</v>
      </c>
      <c r="Z12" s="48">
        <v>18</v>
      </c>
      <c r="AA12" s="48">
        <v>42</v>
      </c>
      <c r="AB12" s="48">
        <f t="shared" si="6"/>
        <v>68</v>
      </c>
      <c r="AC12" s="104">
        <f t="shared" si="7"/>
        <v>0.68</v>
      </c>
      <c r="AD12" s="48" t="str">
        <f>LOOKUP(AC12,'Semester 1'!$I$24:$I$28,'Semester 1'!$N$24:$N$28)</f>
        <v>C</v>
      </c>
      <c r="AE12" s="48" t="str">
        <f t="shared" si="13"/>
        <v>2</v>
      </c>
      <c r="AF12" s="48">
        <v>22</v>
      </c>
      <c r="AG12" s="48">
        <v>18</v>
      </c>
      <c r="AH12" s="48">
        <v>29</v>
      </c>
      <c r="AI12" s="48">
        <f t="shared" si="8"/>
        <v>69</v>
      </c>
      <c r="AJ12" s="104">
        <f t="shared" si="9"/>
        <v>0.69</v>
      </c>
      <c r="AK12" s="48" t="str">
        <f>LOOKUP(AJ12,'Semester 1'!$I$24:$I$28,'Semester 1'!$N$24:$N$28)</f>
        <v>C</v>
      </c>
      <c r="AL12" s="48" t="str">
        <f t="shared" si="14"/>
        <v>2</v>
      </c>
      <c r="AM12" s="48">
        <f t="shared" si="15"/>
        <v>39</v>
      </c>
      <c r="AN12" s="48">
        <f t="shared" si="16"/>
        <v>2.6</v>
      </c>
      <c r="AO12" s="106">
        <f>AVERAGE(AN12,'Semester 1'!AN12,'Semester 2'!AN14)</f>
        <v>2.3190476190476192</v>
      </c>
      <c r="AP12" s="48" t="str">
        <f t="shared" si="17"/>
        <v/>
      </c>
    </row>
    <row r="13" spans="2:42" x14ac:dyDescent="0.3">
      <c r="B13" s="11">
        <f>'Semester 1'!B13</f>
        <v>4</v>
      </c>
      <c r="C13" s="11" t="str">
        <f>'Semester 1'!C13</f>
        <v>Shahid Saeed</v>
      </c>
      <c r="D13" s="48">
        <v>16</v>
      </c>
      <c r="E13" s="48">
        <v>17</v>
      </c>
      <c r="F13" s="48">
        <v>30</v>
      </c>
      <c r="G13" s="48">
        <f t="shared" si="0"/>
        <v>63</v>
      </c>
      <c r="H13" s="104">
        <f t="shared" si="1"/>
        <v>0.63</v>
      </c>
      <c r="I13" s="48" t="str">
        <f>LOOKUP(H13,'Semester 1'!$I$24:$I$28,'Semester 1'!$N$24:$N$28)</f>
        <v>C</v>
      </c>
      <c r="J13" s="48" t="str">
        <f t="shared" si="10"/>
        <v>2</v>
      </c>
      <c r="K13" s="48">
        <v>19</v>
      </c>
      <c r="L13" s="48">
        <v>22</v>
      </c>
      <c r="M13" s="48">
        <v>29</v>
      </c>
      <c r="N13" s="48">
        <f t="shared" si="2"/>
        <v>70</v>
      </c>
      <c r="O13" s="104">
        <f t="shared" si="3"/>
        <v>0.7</v>
      </c>
      <c r="P13" s="48" t="str">
        <f>LOOKUP(O13,'Semester 1'!$I$24:$I$28,'Semester 1'!$N$24:$N$28)</f>
        <v>B</v>
      </c>
      <c r="Q13" s="48" t="str">
        <f t="shared" si="11"/>
        <v>3</v>
      </c>
      <c r="R13" s="48">
        <v>10</v>
      </c>
      <c r="S13" s="48">
        <v>24</v>
      </c>
      <c r="T13" s="48">
        <v>42</v>
      </c>
      <c r="U13" s="48">
        <f t="shared" si="4"/>
        <v>76</v>
      </c>
      <c r="V13" s="104">
        <f t="shared" si="5"/>
        <v>0.76</v>
      </c>
      <c r="W13" s="48" t="str">
        <f>LOOKUP(V13,'Semester 1'!$I$24:$I$28,'Semester 1'!$N$24:$N$28)</f>
        <v>B</v>
      </c>
      <c r="X13" s="48" t="str">
        <f t="shared" si="12"/>
        <v>3</v>
      </c>
      <c r="Y13" s="48">
        <v>22</v>
      </c>
      <c r="Z13" s="48">
        <v>19</v>
      </c>
      <c r="AA13" s="48">
        <v>49</v>
      </c>
      <c r="AB13" s="48">
        <f t="shared" si="6"/>
        <v>90</v>
      </c>
      <c r="AC13" s="104">
        <f t="shared" si="7"/>
        <v>0.9</v>
      </c>
      <c r="AD13" s="48" t="str">
        <f>LOOKUP(AC13,'Semester 1'!$I$24:$I$28,'Semester 1'!$N$24:$N$28)</f>
        <v>A</v>
      </c>
      <c r="AE13" s="48" t="str">
        <f t="shared" si="13"/>
        <v>4</v>
      </c>
      <c r="AF13" s="48">
        <v>13</v>
      </c>
      <c r="AG13" s="48">
        <v>10</v>
      </c>
      <c r="AH13" s="48">
        <v>35</v>
      </c>
      <c r="AI13" s="48">
        <f t="shared" si="8"/>
        <v>58</v>
      </c>
      <c r="AJ13" s="104">
        <f t="shared" si="9"/>
        <v>0.57999999999999996</v>
      </c>
      <c r="AK13" s="48" t="str">
        <f>LOOKUP(AJ13,'Semester 1'!$I$24:$I$28,'Semester 1'!$N$24:$N$28)</f>
        <v>D</v>
      </c>
      <c r="AL13" s="48" t="str">
        <f t="shared" si="14"/>
        <v>1</v>
      </c>
      <c r="AM13" s="48">
        <f t="shared" si="15"/>
        <v>39</v>
      </c>
      <c r="AN13" s="48">
        <f t="shared" si="16"/>
        <v>2.6</v>
      </c>
      <c r="AO13" s="106">
        <f>AVERAGE(AN13,'Semester 1'!AN13,'Semester 2'!AN15)</f>
        <v>2.6523809523809523</v>
      </c>
      <c r="AP13" s="48" t="str">
        <f t="shared" si="17"/>
        <v/>
      </c>
    </row>
    <row r="14" spans="2:42" x14ac:dyDescent="0.3">
      <c r="B14" s="11">
        <f>'Semester 1'!B14</f>
        <v>5</v>
      </c>
      <c r="C14" s="11" t="str">
        <f>'Semester 1'!C14</f>
        <v>Yusuf Ali</v>
      </c>
      <c r="D14" s="48">
        <v>18</v>
      </c>
      <c r="E14" s="48">
        <v>16</v>
      </c>
      <c r="F14" s="48">
        <v>33</v>
      </c>
      <c r="G14" s="48">
        <f t="shared" si="0"/>
        <v>67</v>
      </c>
      <c r="H14" s="104">
        <f t="shared" si="1"/>
        <v>0.67</v>
      </c>
      <c r="I14" s="48" t="str">
        <f>LOOKUP(H14,'Semester 1'!$I$24:$I$28,'Semester 1'!$N$24:$N$28)</f>
        <v>C</v>
      </c>
      <c r="J14" s="48" t="str">
        <f t="shared" si="10"/>
        <v>2</v>
      </c>
      <c r="K14" s="48">
        <v>9</v>
      </c>
      <c r="L14" s="48">
        <v>15</v>
      </c>
      <c r="M14" s="48">
        <v>27</v>
      </c>
      <c r="N14" s="48">
        <f t="shared" si="2"/>
        <v>51</v>
      </c>
      <c r="O14" s="104">
        <f t="shared" si="3"/>
        <v>0.51</v>
      </c>
      <c r="P14" s="48" t="str">
        <f>LOOKUP(O14,'Semester 1'!$I$24:$I$28,'Semester 1'!$N$24:$N$28)</f>
        <v>D</v>
      </c>
      <c r="Q14" s="48" t="str">
        <f t="shared" si="11"/>
        <v>1</v>
      </c>
      <c r="R14" s="48">
        <v>10</v>
      </c>
      <c r="S14" s="48">
        <v>8</v>
      </c>
      <c r="T14" s="48">
        <v>48</v>
      </c>
      <c r="U14" s="48">
        <f t="shared" si="4"/>
        <v>66</v>
      </c>
      <c r="V14" s="104">
        <f t="shared" si="5"/>
        <v>0.66</v>
      </c>
      <c r="W14" s="48" t="str">
        <f>LOOKUP(V14,'Semester 1'!$I$24:$I$28,'Semester 1'!$N$24:$N$28)</f>
        <v>C</v>
      </c>
      <c r="X14" s="48" t="str">
        <f t="shared" si="12"/>
        <v>2</v>
      </c>
      <c r="Y14" s="48">
        <v>22</v>
      </c>
      <c r="Z14" s="48">
        <v>22</v>
      </c>
      <c r="AA14" s="48">
        <v>43</v>
      </c>
      <c r="AB14" s="48">
        <f t="shared" si="6"/>
        <v>87</v>
      </c>
      <c r="AC14" s="104">
        <f t="shared" si="7"/>
        <v>0.87</v>
      </c>
      <c r="AD14" s="48" t="str">
        <f>LOOKUP(AC14,'Semester 1'!$I$24:$I$28,'Semester 1'!$N$24:$N$28)</f>
        <v>A</v>
      </c>
      <c r="AE14" s="48" t="str">
        <f t="shared" si="13"/>
        <v>4</v>
      </c>
      <c r="AF14" s="48">
        <v>23</v>
      </c>
      <c r="AG14" s="48">
        <v>15</v>
      </c>
      <c r="AH14" s="48">
        <v>46</v>
      </c>
      <c r="AI14" s="48">
        <f t="shared" si="8"/>
        <v>84</v>
      </c>
      <c r="AJ14" s="104">
        <f t="shared" si="9"/>
        <v>0.84</v>
      </c>
      <c r="AK14" s="48" t="str">
        <f>LOOKUP(AJ14,'Semester 1'!$I$24:$I$28,'Semester 1'!$N$24:$N$28)</f>
        <v>A</v>
      </c>
      <c r="AL14" s="48" t="str">
        <f t="shared" si="14"/>
        <v>4</v>
      </c>
      <c r="AM14" s="48">
        <f t="shared" si="15"/>
        <v>39</v>
      </c>
      <c r="AN14" s="48">
        <f t="shared" si="16"/>
        <v>2.6</v>
      </c>
      <c r="AO14" s="106">
        <f>AVERAGE(AN14,'Semester 1'!AN14,'Semester 2'!AN16)</f>
        <v>2.1285714285714286</v>
      </c>
      <c r="AP14" s="48" t="str">
        <f t="shared" si="17"/>
        <v/>
      </c>
    </row>
    <row r="15" spans="2:42" x14ac:dyDescent="0.3">
      <c r="B15" s="11">
        <f>'Semester 1'!B15</f>
        <v>6</v>
      </c>
      <c r="C15" s="11" t="str">
        <f>'Semester 1'!C15</f>
        <v>Muhammad Saad</v>
      </c>
      <c r="D15" s="48">
        <v>13</v>
      </c>
      <c r="E15" s="48">
        <v>20</v>
      </c>
      <c r="F15" s="48">
        <v>38</v>
      </c>
      <c r="G15" s="48">
        <f t="shared" si="0"/>
        <v>71</v>
      </c>
      <c r="H15" s="104">
        <f t="shared" si="1"/>
        <v>0.71</v>
      </c>
      <c r="I15" s="48" t="str">
        <f>LOOKUP(H15,'Semester 1'!$I$24:$I$28,'Semester 1'!$N$24:$N$28)</f>
        <v>B</v>
      </c>
      <c r="J15" s="48" t="str">
        <f t="shared" si="10"/>
        <v>3</v>
      </c>
      <c r="K15" s="48">
        <v>8</v>
      </c>
      <c r="L15" s="48">
        <v>12</v>
      </c>
      <c r="M15" s="48">
        <v>44</v>
      </c>
      <c r="N15" s="48">
        <f t="shared" si="2"/>
        <v>64</v>
      </c>
      <c r="O15" s="104">
        <f t="shared" si="3"/>
        <v>0.64</v>
      </c>
      <c r="P15" s="48" t="str">
        <f>LOOKUP(O15,'Semester 1'!$I$24:$I$28,'Semester 1'!$N$24:$N$28)</f>
        <v>C</v>
      </c>
      <c r="Q15" s="48" t="str">
        <f t="shared" si="11"/>
        <v>2</v>
      </c>
      <c r="R15" s="48">
        <v>16</v>
      </c>
      <c r="S15" s="48">
        <v>8</v>
      </c>
      <c r="T15" s="48">
        <v>48</v>
      </c>
      <c r="U15" s="48">
        <f t="shared" si="4"/>
        <v>72</v>
      </c>
      <c r="V15" s="104">
        <f t="shared" si="5"/>
        <v>0.72</v>
      </c>
      <c r="W15" s="48" t="str">
        <f>LOOKUP(V15,'Semester 1'!$I$24:$I$28,'Semester 1'!$N$24:$N$28)</f>
        <v>B</v>
      </c>
      <c r="X15" s="48" t="str">
        <f t="shared" si="12"/>
        <v>3</v>
      </c>
      <c r="Y15" s="48">
        <v>14</v>
      </c>
      <c r="Z15" s="48">
        <v>10</v>
      </c>
      <c r="AA15" s="48">
        <v>28</v>
      </c>
      <c r="AB15" s="48">
        <f t="shared" si="6"/>
        <v>52</v>
      </c>
      <c r="AC15" s="104">
        <f t="shared" si="7"/>
        <v>0.52</v>
      </c>
      <c r="AD15" s="48" t="str">
        <f>LOOKUP(AC15,'Semester 1'!$I$24:$I$28,'Semester 1'!$N$24:$N$28)</f>
        <v>D</v>
      </c>
      <c r="AE15" s="48" t="str">
        <f t="shared" si="13"/>
        <v>1</v>
      </c>
      <c r="AF15" s="48">
        <v>12</v>
      </c>
      <c r="AG15" s="48">
        <v>17</v>
      </c>
      <c r="AH15" s="48">
        <v>41</v>
      </c>
      <c r="AI15" s="48">
        <f t="shared" si="8"/>
        <v>70</v>
      </c>
      <c r="AJ15" s="104">
        <f t="shared" si="9"/>
        <v>0.7</v>
      </c>
      <c r="AK15" s="48" t="str">
        <f>LOOKUP(AJ15,'Semester 1'!$I$24:$I$28,'Semester 1'!$N$24:$N$28)</f>
        <v>B</v>
      </c>
      <c r="AL15" s="48" t="str">
        <f t="shared" si="14"/>
        <v>3</v>
      </c>
      <c r="AM15" s="48">
        <f t="shared" si="15"/>
        <v>36</v>
      </c>
      <c r="AN15" s="48">
        <f t="shared" si="16"/>
        <v>2.4</v>
      </c>
      <c r="AO15" s="106">
        <f>AVERAGE(AN15,'Semester 1'!AN15,'Semester 2'!AN17)</f>
        <v>2.2523809523809524</v>
      </c>
      <c r="AP15" s="48" t="str">
        <f t="shared" si="17"/>
        <v/>
      </c>
    </row>
    <row r="16" spans="2:42" x14ac:dyDescent="0.3">
      <c r="B16" s="11">
        <f>'Semester 1'!B16</f>
        <v>7</v>
      </c>
      <c r="C16" s="11" t="str">
        <f>'Semester 1'!C16</f>
        <v>Abdul Moiz</v>
      </c>
      <c r="D16" s="48">
        <v>23</v>
      </c>
      <c r="E16" s="48">
        <v>8</v>
      </c>
      <c r="F16" s="48">
        <v>39</v>
      </c>
      <c r="G16" s="48">
        <f t="shared" si="0"/>
        <v>70</v>
      </c>
      <c r="H16" s="104">
        <f t="shared" si="1"/>
        <v>0.7</v>
      </c>
      <c r="I16" s="48" t="str">
        <f>LOOKUP(H16,'Semester 1'!$I$24:$I$28,'Semester 1'!$N$24:$N$28)</f>
        <v>B</v>
      </c>
      <c r="J16" s="48" t="str">
        <f t="shared" si="10"/>
        <v>3</v>
      </c>
      <c r="K16" s="48">
        <v>16</v>
      </c>
      <c r="L16" s="48">
        <v>21</v>
      </c>
      <c r="M16" s="48">
        <v>49</v>
      </c>
      <c r="N16" s="48">
        <f t="shared" si="2"/>
        <v>86</v>
      </c>
      <c r="O16" s="104">
        <f t="shared" si="3"/>
        <v>0.86</v>
      </c>
      <c r="P16" s="48" t="str">
        <f>LOOKUP(O16,'Semester 1'!$I$24:$I$28,'Semester 1'!$N$24:$N$28)</f>
        <v>A</v>
      </c>
      <c r="Q16" s="48" t="str">
        <f t="shared" si="11"/>
        <v>4</v>
      </c>
      <c r="R16" s="48">
        <v>11</v>
      </c>
      <c r="S16" s="48">
        <v>17</v>
      </c>
      <c r="T16" s="48">
        <v>40</v>
      </c>
      <c r="U16" s="48">
        <f t="shared" si="4"/>
        <v>68</v>
      </c>
      <c r="V16" s="104">
        <f t="shared" si="5"/>
        <v>0.68</v>
      </c>
      <c r="W16" s="48" t="str">
        <f>LOOKUP(V16,'Semester 1'!$I$24:$I$28,'Semester 1'!$N$24:$N$28)</f>
        <v>C</v>
      </c>
      <c r="X16" s="48" t="str">
        <f t="shared" si="12"/>
        <v>2</v>
      </c>
      <c r="Y16" s="48">
        <v>19</v>
      </c>
      <c r="Z16" s="48">
        <v>15</v>
      </c>
      <c r="AA16" s="48">
        <v>31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8</v>
      </c>
      <c r="AG16" s="48">
        <v>16</v>
      </c>
      <c r="AH16" s="48">
        <v>42</v>
      </c>
      <c r="AI16" s="48">
        <f t="shared" si="8"/>
        <v>66</v>
      </c>
      <c r="AJ16" s="104">
        <f t="shared" si="9"/>
        <v>0.66</v>
      </c>
      <c r="AK16" s="48" t="str">
        <f>LOOKUP(AJ16,'Semester 1'!$I$24:$I$28,'Semester 1'!$N$24:$N$28)</f>
        <v>C</v>
      </c>
      <c r="AL16" s="48" t="str">
        <f t="shared" si="14"/>
        <v>2</v>
      </c>
      <c r="AM16" s="48">
        <f t="shared" si="15"/>
        <v>39</v>
      </c>
      <c r="AN16" s="48">
        <f t="shared" si="16"/>
        <v>2.6</v>
      </c>
      <c r="AO16" s="106">
        <f>AVERAGE(AN16,'Semester 1'!AN16,'Semester 2'!AN18)</f>
        <v>2.2714285714285718</v>
      </c>
      <c r="AP16" s="48" t="str">
        <f t="shared" si="17"/>
        <v/>
      </c>
    </row>
    <row r="17" spans="2:42" x14ac:dyDescent="0.3">
      <c r="B17" s="11">
        <f>'Semester 1'!B17</f>
        <v>8</v>
      </c>
      <c r="C17" s="11" t="str">
        <f>'Semester 1'!C17</f>
        <v>Usama Khan</v>
      </c>
      <c r="D17" s="48">
        <v>23</v>
      </c>
      <c r="E17" s="48">
        <v>18</v>
      </c>
      <c r="F17" s="48">
        <v>41</v>
      </c>
      <c r="G17" s="48">
        <f t="shared" si="0"/>
        <v>82</v>
      </c>
      <c r="H17" s="104">
        <f t="shared" si="1"/>
        <v>0.82</v>
      </c>
      <c r="I17" s="48" t="str">
        <f>LOOKUP(H17,'Semester 1'!$I$24:$I$28,'Semester 1'!$N$24:$N$28)</f>
        <v>A</v>
      </c>
      <c r="J17" s="48" t="str">
        <f t="shared" si="10"/>
        <v>4</v>
      </c>
      <c r="K17" s="48">
        <v>14</v>
      </c>
      <c r="L17" s="48">
        <v>14</v>
      </c>
      <c r="M17" s="48">
        <v>30</v>
      </c>
      <c r="N17" s="48">
        <f t="shared" si="2"/>
        <v>58</v>
      </c>
      <c r="O17" s="104">
        <f t="shared" si="3"/>
        <v>0.57999999999999996</v>
      </c>
      <c r="P17" s="48" t="str">
        <f>LOOKUP(O17,'Semester 1'!$I$24:$I$28,'Semester 1'!$N$24:$N$28)</f>
        <v>D</v>
      </c>
      <c r="Q17" s="48" t="str">
        <f t="shared" si="11"/>
        <v>1</v>
      </c>
      <c r="R17" s="48">
        <v>17</v>
      </c>
      <c r="S17" s="48">
        <v>18</v>
      </c>
      <c r="T17" s="48">
        <v>28</v>
      </c>
      <c r="U17" s="48">
        <f t="shared" si="4"/>
        <v>63</v>
      </c>
      <c r="V17" s="104">
        <f t="shared" si="5"/>
        <v>0.63</v>
      </c>
      <c r="W17" s="48" t="str">
        <f>LOOKUP(V17,'Semester 1'!$I$24:$I$28,'Semester 1'!$N$24:$N$28)</f>
        <v>C</v>
      </c>
      <c r="X17" s="48" t="str">
        <f t="shared" si="12"/>
        <v>2</v>
      </c>
      <c r="Y17" s="48">
        <v>18</v>
      </c>
      <c r="Z17" s="48">
        <v>9</v>
      </c>
      <c r="AA17" s="48">
        <v>32</v>
      </c>
      <c r="AB17" s="48">
        <f t="shared" si="6"/>
        <v>59</v>
      </c>
      <c r="AC17" s="104">
        <f t="shared" si="7"/>
        <v>0.59</v>
      </c>
      <c r="AD17" s="48" t="str">
        <f>LOOKUP(AC17,'Semester 1'!$I$24:$I$28,'Semester 1'!$N$24:$N$28)</f>
        <v>D</v>
      </c>
      <c r="AE17" s="48" t="str">
        <f t="shared" si="13"/>
        <v>1</v>
      </c>
      <c r="AF17" s="48">
        <v>10</v>
      </c>
      <c r="AG17" s="48">
        <v>17</v>
      </c>
      <c r="AH17" s="48">
        <v>28</v>
      </c>
      <c r="AI17" s="48">
        <f t="shared" si="8"/>
        <v>55</v>
      </c>
      <c r="AJ17" s="104">
        <f t="shared" si="9"/>
        <v>0.55000000000000004</v>
      </c>
      <c r="AK17" s="48" t="str">
        <f>LOOKUP(AJ17,'Semester 1'!$I$24:$I$28,'Semester 1'!$N$24:$N$28)</f>
        <v>D</v>
      </c>
      <c r="AL17" s="48" t="str">
        <f t="shared" si="14"/>
        <v>1</v>
      </c>
      <c r="AM17" s="48">
        <f t="shared" si="15"/>
        <v>27</v>
      </c>
      <c r="AN17" s="48">
        <f t="shared" si="16"/>
        <v>1.8</v>
      </c>
      <c r="AO17" s="106">
        <f>AVERAGE(AN17,'Semester 1'!AN17,'Semester 2'!AN19)</f>
        <v>2.6</v>
      </c>
      <c r="AP17" s="48" t="str">
        <f t="shared" si="17"/>
        <v/>
      </c>
    </row>
    <row r="18" spans="2:42" x14ac:dyDescent="0.3">
      <c r="B18" s="11">
        <f>'Semester 1'!B18</f>
        <v>9</v>
      </c>
      <c r="C18" s="11" t="str">
        <f>'Semester 1'!C18</f>
        <v>Momin Saeed</v>
      </c>
      <c r="D18" s="48">
        <v>22</v>
      </c>
      <c r="E18" s="48">
        <v>23</v>
      </c>
      <c r="F18" s="48">
        <v>36</v>
      </c>
      <c r="G18" s="48">
        <f t="shared" si="0"/>
        <v>81</v>
      </c>
      <c r="H18" s="104">
        <f t="shared" si="1"/>
        <v>0.81</v>
      </c>
      <c r="I18" s="48" t="str">
        <f>LOOKUP(H18,'Semester 1'!$I$24:$I$28,'Semester 1'!$N$24:$N$28)</f>
        <v>A</v>
      </c>
      <c r="J18" s="48" t="str">
        <f t="shared" si="10"/>
        <v>4</v>
      </c>
      <c r="K18" s="48">
        <v>17</v>
      </c>
      <c r="L18" s="48">
        <v>20</v>
      </c>
      <c r="M18" s="48">
        <v>45</v>
      </c>
      <c r="N18" s="48">
        <f t="shared" si="2"/>
        <v>82</v>
      </c>
      <c r="O18" s="104">
        <f t="shared" si="3"/>
        <v>0.82</v>
      </c>
      <c r="P18" s="48" t="str">
        <f>LOOKUP(O18,'Semester 1'!$I$24:$I$28,'Semester 1'!$N$24:$N$28)</f>
        <v>A</v>
      </c>
      <c r="Q18" s="48" t="str">
        <f t="shared" si="11"/>
        <v>4</v>
      </c>
      <c r="R18" s="48">
        <v>8</v>
      </c>
      <c r="S18" s="48">
        <v>23</v>
      </c>
      <c r="T18" s="48">
        <v>40</v>
      </c>
      <c r="U18" s="48">
        <f t="shared" si="4"/>
        <v>71</v>
      </c>
      <c r="V18" s="104">
        <f t="shared" si="5"/>
        <v>0.71</v>
      </c>
      <c r="W18" s="48" t="str">
        <f>LOOKUP(V18,'Semester 1'!$I$24:$I$28,'Semester 1'!$N$24:$N$28)</f>
        <v>B</v>
      </c>
      <c r="X18" s="48" t="str">
        <f t="shared" si="12"/>
        <v>3</v>
      </c>
      <c r="Y18" s="48">
        <v>8</v>
      </c>
      <c r="Z18" s="48">
        <v>18</v>
      </c>
      <c r="AA18" s="48">
        <v>32</v>
      </c>
      <c r="AB18" s="48">
        <f t="shared" si="6"/>
        <v>58</v>
      </c>
      <c r="AC18" s="104">
        <f t="shared" si="7"/>
        <v>0.57999999999999996</v>
      </c>
      <c r="AD18" s="48" t="str">
        <f>LOOKUP(AC18,'Semester 1'!$I$24:$I$28,'Semester 1'!$N$24:$N$28)</f>
        <v>D</v>
      </c>
      <c r="AE18" s="48" t="str">
        <f t="shared" si="13"/>
        <v>1</v>
      </c>
      <c r="AF18" s="48">
        <v>19</v>
      </c>
      <c r="AG18" s="48">
        <v>13</v>
      </c>
      <c r="AH18" s="48">
        <v>37</v>
      </c>
      <c r="AI18" s="48">
        <f t="shared" si="8"/>
        <v>69</v>
      </c>
      <c r="AJ18" s="104">
        <f t="shared" si="9"/>
        <v>0.69</v>
      </c>
      <c r="AK18" s="48" t="str">
        <f>LOOKUP(AJ18,'Semester 1'!$I$24:$I$28,'Semester 1'!$N$24:$N$28)</f>
        <v>C</v>
      </c>
      <c r="AL18" s="48" t="str">
        <f>IF(AI18&gt;=80,"4",IF(AI18&gt;=70,"3",IF(AI18&gt;=60,"2",IF(AI18&gt;=50,"1",IF(AI18&lt;50,"0")))))</f>
        <v>2</v>
      </c>
      <c r="AM18" s="48">
        <f t="shared" si="15"/>
        <v>42</v>
      </c>
      <c r="AN18" s="48">
        <f t="shared" si="16"/>
        <v>2.8</v>
      </c>
      <c r="AO18" s="106">
        <f>AVERAGE(AN18,'Semester 1'!AN18,'Semester 2'!AN20)</f>
        <v>2.9</v>
      </c>
      <c r="AP18" s="48" t="str">
        <f t="shared" si="17"/>
        <v>Third</v>
      </c>
    </row>
    <row r="19" spans="2:42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21</v>
      </c>
      <c r="F19" s="89">
        <v>45</v>
      </c>
      <c r="G19" s="89">
        <f t="shared" si="0"/>
        <v>86</v>
      </c>
      <c r="H19" s="105">
        <f t="shared" si="1"/>
        <v>0.86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22</v>
      </c>
      <c r="L19" s="89">
        <v>21</v>
      </c>
      <c r="M19" s="89">
        <v>43</v>
      </c>
      <c r="N19" s="89">
        <f t="shared" si="2"/>
        <v>86</v>
      </c>
      <c r="O19" s="105">
        <f t="shared" si="3"/>
        <v>0.86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23</v>
      </c>
      <c r="S19" s="89">
        <v>22</v>
      </c>
      <c r="T19" s="89">
        <v>43</v>
      </c>
      <c r="U19" s="89">
        <f t="shared" si="4"/>
        <v>88</v>
      </c>
      <c r="V19" s="105">
        <f t="shared" si="5"/>
        <v>0.88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20</v>
      </c>
      <c r="Z19" s="89">
        <v>19</v>
      </c>
      <c r="AA19" s="89">
        <v>45</v>
      </c>
      <c r="AB19" s="89">
        <f t="shared" si="6"/>
        <v>84</v>
      </c>
      <c r="AC19" s="105">
        <f t="shared" si="7"/>
        <v>0.84</v>
      </c>
      <c r="AD19" s="89" t="str">
        <f>LOOKUP(AC19,'Semester 1'!$I$24:$I$28,'Semester 1'!$N$24:$N$28)</f>
        <v>A</v>
      </c>
      <c r="AE19" s="89" t="str">
        <f t="shared" si="13"/>
        <v>4</v>
      </c>
      <c r="AF19" s="89">
        <v>22</v>
      </c>
      <c r="AG19" s="89">
        <v>21</v>
      </c>
      <c r="AH19" s="89">
        <v>42</v>
      </c>
      <c r="AI19" s="89">
        <f t="shared" si="8"/>
        <v>85</v>
      </c>
      <c r="AJ19" s="105">
        <f t="shared" si="9"/>
        <v>0.85</v>
      </c>
      <c r="AK19" s="89" t="str">
        <f>LOOKUP(AJ19,'Semester 1'!$I$24:$I$28,'Semester 1'!$N$24:$N$28)</f>
        <v>A</v>
      </c>
      <c r="AL19" s="89" t="str">
        <f t="shared" si="14"/>
        <v>4</v>
      </c>
      <c r="AM19" s="89">
        <f t="shared" si="15"/>
        <v>60</v>
      </c>
      <c r="AN19" s="89">
        <f t="shared" si="16"/>
        <v>4</v>
      </c>
      <c r="AO19" s="107">
        <f>AVERAGE(AN19,'Semester 1'!AN19,'Semester 2'!AN21)</f>
        <v>3.8928571428571428</v>
      </c>
      <c r="AP19" s="89" t="str">
        <f t="shared" si="17"/>
        <v>First</v>
      </c>
    </row>
    <row r="22" spans="2:42" x14ac:dyDescent="0.3">
      <c r="H22" s="18"/>
      <c r="I22" s="18"/>
    </row>
    <row r="23" spans="2:42" ht="15" thickBot="1" x14ac:dyDescent="0.35">
      <c r="H23" s="18"/>
      <c r="I23" s="18"/>
      <c r="J23" s="18"/>
    </row>
    <row r="24" spans="2:42" ht="15.6" x14ac:dyDescent="0.3">
      <c r="F24" s="34" t="s">
        <v>26</v>
      </c>
      <c r="G24" s="35" t="s">
        <v>40</v>
      </c>
      <c r="H24" s="42" t="s">
        <v>46</v>
      </c>
      <c r="I24" s="19"/>
      <c r="J24" s="19"/>
    </row>
    <row r="25" spans="2:42" x14ac:dyDescent="0.3">
      <c r="F25" s="36">
        <v>1</v>
      </c>
      <c r="G25" s="37" t="s">
        <v>41</v>
      </c>
      <c r="H25" s="2">
        <v>3</v>
      </c>
      <c r="I25" s="19"/>
      <c r="J25" s="19"/>
    </row>
    <row r="26" spans="2:42" x14ac:dyDescent="0.3">
      <c r="F26" s="36">
        <v>2</v>
      </c>
      <c r="G26" s="37" t="s">
        <v>42</v>
      </c>
      <c r="H26" s="2">
        <v>3</v>
      </c>
      <c r="I26" s="19"/>
      <c r="J26" s="19"/>
    </row>
    <row r="27" spans="2:42" x14ac:dyDescent="0.3">
      <c r="F27" s="36">
        <v>3</v>
      </c>
      <c r="G27" s="37" t="s">
        <v>43</v>
      </c>
      <c r="H27" s="2">
        <v>3</v>
      </c>
      <c r="I27" s="19"/>
      <c r="J27" s="19"/>
    </row>
    <row r="28" spans="2:42" x14ac:dyDescent="0.3">
      <c r="F28" s="36">
        <v>4</v>
      </c>
      <c r="G28" s="37" t="s">
        <v>44</v>
      </c>
      <c r="H28" s="2">
        <v>3</v>
      </c>
      <c r="I28" s="19"/>
      <c r="J28" s="19"/>
    </row>
    <row r="29" spans="2:42" ht="15" thickBot="1" x14ac:dyDescent="0.35">
      <c r="F29" s="36">
        <v>5</v>
      </c>
      <c r="G29" s="37" t="s">
        <v>45</v>
      </c>
      <c r="H29" s="2">
        <v>3</v>
      </c>
    </row>
    <row r="30" spans="2:42" ht="15" thickBot="1" x14ac:dyDescent="0.35">
      <c r="F30" s="39"/>
      <c r="G30" s="40" t="s">
        <v>32</v>
      </c>
      <c r="H30" s="38">
        <f>SUM(H25:H29)</f>
        <v>15</v>
      </c>
    </row>
  </sheetData>
  <mergeCells count="8">
    <mergeCell ref="B2:C3"/>
    <mergeCell ref="AF8:AL8"/>
    <mergeCell ref="B7:C8"/>
    <mergeCell ref="D8:J8"/>
    <mergeCell ref="K8:Q8"/>
    <mergeCell ref="R8:X8"/>
    <mergeCell ref="Y8:AE8"/>
    <mergeCell ref="B4:C5"/>
  </mergeCells>
  <conditionalFormatting sqref="D10:AL19">
    <cfRule type="cellIs" dxfId="22" priority="2" operator="lessThan">
      <formula>0.5</formula>
    </cfRule>
  </conditionalFormatting>
  <conditionalFormatting sqref="I10:I19 P10:P19 W10:W19 AD10:AD19 AK10:AK19">
    <cfRule type="containsText" dxfId="21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1310640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1310640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W30"/>
  <sheetViews>
    <sheetView workbookViewId="0">
      <selection activeCell="AA19" sqref="AA19"/>
    </sheetView>
  </sheetViews>
  <sheetFormatPr defaultColWidth="8.77734375" defaultRowHeight="14.4" x14ac:dyDescent="0.3"/>
  <cols>
    <col min="3" max="3" width="18.6640625" customWidth="1"/>
    <col min="4" max="6" width="7.6640625" bestFit="1" customWidth="1"/>
    <col min="7" max="7" width="31.4414062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6.33203125" customWidth="1"/>
    <col min="15" max="15" width="9.77734375" bestFit="1" customWidth="1"/>
    <col min="16" max="16" width="5.6640625" bestFit="1" customWidth="1"/>
    <col min="17" max="17" width="4.33203125" bestFit="1" customWidth="1"/>
    <col min="18" max="19" width="7.6640625" bestFit="1" customWidth="1"/>
    <col min="20" max="20" width="6.77734375" customWidth="1"/>
    <col min="21" max="21" width="6.66406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7.441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9.33203125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10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19</v>
      </c>
      <c r="C7" s="149"/>
    </row>
    <row r="8" spans="2:49" ht="15" thickBot="1" x14ac:dyDescent="0.35">
      <c r="B8" s="150"/>
      <c r="C8" s="151"/>
      <c r="D8" s="152" t="s">
        <v>47</v>
      </c>
      <c r="E8" s="153"/>
      <c r="F8" s="153"/>
      <c r="G8" s="153"/>
      <c r="H8" s="153"/>
      <c r="I8" s="153"/>
      <c r="J8" s="154"/>
      <c r="K8" s="152" t="s">
        <v>106</v>
      </c>
      <c r="L8" s="153"/>
      <c r="M8" s="153"/>
      <c r="N8" s="153"/>
      <c r="O8" s="153"/>
      <c r="P8" s="153"/>
      <c r="Q8" s="154"/>
      <c r="R8" s="152" t="s">
        <v>79</v>
      </c>
      <c r="S8" s="153"/>
      <c r="T8" s="153"/>
      <c r="U8" s="153"/>
      <c r="V8" s="153"/>
      <c r="W8" s="153"/>
      <c r="X8" s="154"/>
      <c r="Y8" s="152" t="s">
        <v>50</v>
      </c>
      <c r="Z8" s="153"/>
      <c r="AA8" s="153"/>
      <c r="AB8" s="153"/>
      <c r="AC8" s="153"/>
      <c r="AD8" s="153"/>
      <c r="AE8" s="154"/>
      <c r="AF8" s="152" t="s">
        <v>51</v>
      </c>
      <c r="AG8" s="153"/>
      <c r="AH8" s="153"/>
      <c r="AI8" s="153"/>
      <c r="AJ8" s="153"/>
      <c r="AK8" s="153"/>
      <c r="AL8" s="154"/>
      <c r="AM8" s="152" t="s">
        <v>80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18</v>
      </c>
      <c r="E10" s="48">
        <v>21</v>
      </c>
      <c r="F10" s="48">
        <v>34</v>
      </c>
      <c r="G10" s="48">
        <f t="shared" ref="G10:G19" si="0">SUM(D10:F10)</f>
        <v>73</v>
      </c>
      <c r="H10" s="104">
        <f>G10/100</f>
        <v>0.73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18</v>
      </c>
      <c r="L10" s="48">
        <v>21</v>
      </c>
      <c r="M10" s="48">
        <v>35</v>
      </c>
      <c r="N10" s="48">
        <f t="shared" ref="N10:N19" si="1">SUM(K10:M10)</f>
        <v>74</v>
      </c>
      <c r="O10" s="104">
        <f t="shared" ref="O10:O19" si="2">N10/100</f>
        <v>0.74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20</v>
      </c>
      <c r="S10" s="48">
        <v>16</v>
      </c>
      <c r="T10" s="48">
        <v>46</v>
      </c>
      <c r="U10" s="48">
        <f t="shared" ref="U10:U19" si="3">SUM(R10:T10)</f>
        <v>82</v>
      </c>
      <c r="V10" s="104">
        <f t="shared" ref="V10:V19" si="4">U10/100</f>
        <v>0.82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17</v>
      </c>
      <c r="Z10" s="48">
        <v>22</v>
      </c>
      <c r="AA10" s="48">
        <v>43</v>
      </c>
      <c r="AB10" s="48">
        <f t="shared" ref="AB10:AB19" si="5">SUM(Y10:AA10)</f>
        <v>82</v>
      </c>
      <c r="AC10" s="104">
        <f t="shared" ref="AC10:AC19" si="6">AB10/100</f>
        <v>0.82</v>
      </c>
      <c r="AD10" s="48" t="str">
        <f>LOOKUP(AC10,'Semester 1'!$I$24:$I$28,'Semester 1'!$N$24:$N$28)</f>
        <v>A</v>
      </c>
      <c r="AE10" s="48" t="str">
        <f>IF(AB10&gt;=80,"4",IF(AB10&gt;=70,"3",IF(AB10&gt;=60,"2",IF(AB10&gt;=50,"1",IF(AB10&lt;50,"0")))))</f>
        <v>4</v>
      </c>
      <c r="AF10" s="48">
        <v>22</v>
      </c>
      <c r="AG10" s="48">
        <v>13</v>
      </c>
      <c r="AH10" s="48">
        <v>43</v>
      </c>
      <c r="AI10" s="48">
        <f t="shared" ref="AI10:AI19" si="7">SUM(AF10:AH10)</f>
        <v>78</v>
      </c>
      <c r="AJ10" s="104">
        <f>AI10/100</f>
        <v>0.78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v>13</v>
      </c>
      <c r="AN10" s="48">
        <v>13</v>
      </c>
      <c r="AO10" s="48">
        <v>33</v>
      </c>
      <c r="AP10" s="48">
        <v>70</v>
      </c>
      <c r="AQ10" s="104">
        <f t="shared" ref="AQ10:AQ19" si="8">AP10/100</f>
        <v>0.7</v>
      </c>
      <c r="AR10" s="48" t="str">
        <f>LOOKUP(AQ10,'Semester 1'!$I$24:$I$28,'Semester 1'!$N$24:$N$28)</f>
        <v>B</v>
      </c>
      <c r="AS10" s="48" t="str">
        <f>IF(AP10&gt;=80,"4",IF(AP10&gt;=70,"3",IF(AP10&gt;=60,"2",IF(AP10&gt;=50,"1",IF(AP10&lt;50,"0")))))</f>
        <v>3</v>
      </c>
      <c r="AT10" s="48">
        <f>J10*$H$24+Q10*$H$25+X10*$H$26+AE10*$H$27+AL10*$H$28+AS10*$H$29</f>
        <v>60</v>
      </c>
      <c r="AU10" s="48">
        <f>AT10/$H$30</f>
        <v>3.3333333333333335</v>
      </c>
      <c r="AV10" s="48">
        <f>AVERAGE(AU10,'Semester 1'!AN10,'Semester 2'!AN10,'Semester 3'!AN10)</f>
        <v>3.4404761904761907</v>
      </c>
      <c r="AW10" s="48" t="str">
        <f>IF(LARGE($AU$10:$AU$19,1)=AU10,"First",IF(LARGE($AU$10:$AU$19,2)=AU10,"Second",IF(LARGE($AU$10:$AU$19,3)=AU10,"Third","")))</f>
        <v>Second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19</v>
      </c>
      <c r="E11" s="48">
        <v>13</v>
      </c>
      <c r="F11" s="48">
        <v>35</v>
      </c>
      <c r="G11" s="48">
        <f t="shared" si="0"/>
        <v>67</v>
      </c>
      <c r="H11" s="104">
        <f t="shared" ref="H11:H19" si="9">G11/100</f>
        <v>0.67</v>
      </c>
      <c r="I11" s="48" t="str">
        <f>LOOKUP(H11,'Semester 1'!$I$24:$I$28,'Semester 1'!$N$24:$N$28)</f>
        <v>C</v>
      </c>
      <c r="J11" s="48" t="str">
        <f t="shared" ref="J11:J19" si="10">IF(G11&gt;=80,"4",IF(G11&gt;=70,"3",IF(G11&gt;=60,"2",IF(G11&gt;=50,"1",IF(G11&lt;50,"0")))))</f>
        <v>2</v>
      </c>
      <c r="K11" s="48">
        <v>23</v>
      </c>
      <c r="L11" s="48">
        <v>22</v>
      </c>
      <c r="M11" s="48">
        <v>44</v>
      </c>
      <c r="N11" s="48">
        <f t="shared" si="1"/>
        <v>89</v>
      </c>
      <c r="O11" s="104">
        <f t="shared" si="2"/>
        <v>0.89</v>
      </c>
      <c r="P11" s="48" t="str">
        <f>LOOKUP(O11,'Semester 1'!$I$24:$I$28,'Semester 1'!$N$24:$N$28)</f>
        <v>A</v>
      </c>
      <c r="Q11" s="48" t="str">
        <f t="shared" ref="Q11:Q19" si="11">IF(N11&gt;=80,"4",IF(N11&gt;=70,"3",IF(N11&gt;=60,"2",IF(N11&gt;=50,"1",IF(N11&lt;50,"0")))))</f>
        <v>4</v>
      </c>
      <c r="R11" s="48">
        <v>23</v>
      </c>
      <c r="S11" s="48">
        <v>22</v>
      </c>
      <c r="T11" s="48">
        <v>35</v>
      </c>
      <c r="U11" s="48">
        <f t="shared" si="3"/>
        <v>80</v>
      </c>
      <c r="V11" s="104">
        <f t="shared" si="4"/>
        <v>0.8</v>
      </c>
      <c r="W11" s="48" t="str">
        <f>LOOKUP(V11,'Semester 1'!$I$24:$I$28,'Semester 1'!$N$24:$N$28)</f>
        <v>A</v>
      </c>
      <c r="X11" s="48" t="str">
        <f t="shared" ref="X11:X19" si="12">IF(U11&gt;=80,"4",IF(U11&gt;=70,"3",IF(U11&gt;=60,"2",IF(U11&gt;=50,"1",IF(U11&lt;50,"0")))))</f>
        <v>4</v>
      </c>
      <c r="Y11" s="48">
        <v>20</v>
      </c>
      <c r="Z11" s="48">
        <v>17</v>
      </c>
      <c r="AA11" s="48">
        <v>42</v>
      </c>
      <c r="AB11" s="48">
        <f t="shared" si="5"/>
        <v>79</v>
      </c>
      <c r="AC11" s="104">
        <f t="shared" si="6"/>
        <v>0.79</v>
      </c>
      <c r="AD11" s="48" t="str">
        <f>LOOKUP(AC11,'Semester 1'!$I$24:$I$28,'Semester 1'!$N$24:$N$28)</f>
        <v>B</v>
      </c>
      <c r="AE11" s="48" t="str">
        <f t="shared" ref="AE11:AE19" si="13">IF(AB11&gt;=80,"4",IF(AB11&gt;=70,"3",IF(AB11&gt;=60,"2",IF(AB11&gt;=50,"1",IF(AB11&lt;50,"0")))))</f>
        <v>3</v>
      </c>
      <c r="AF11" s="48">
        <v>18</v>
      </c>
      <c r="AG11" s="48">
        <v>10</v>
      </c>
      <c r="AH11" s="48">
        <v>37</v>
      </c>
      <c r="AI11" s="48">
        <f t="shared" si="7"/>
        <v>65</v>
      </c>
      <c r="AJ11" s="104">
        <f t="shared" ref="AJ11:AJ19" si="14">AI11/100</f>
        <v>0.65</v>
      </c>
      <c r="AK11" s="48" t="str">
        <f>LOOKUP(AJ11,'Semester 1'!$I$24:$I$28,'Semester 1'!$N$24:$N$28)</f>
        <v>C</v>
      </c>
      <c r="AL11" s="48" t="str">
        <f t="shared" ref="AL11:AL19" si="15">IF(AI11&gt;=80,"4",IF(AI11&gt;=70,"3",IF(AI11&gt;=60,"2",IF(AI11&gt;=50,"1",IF(AI11&lt;50,"0")))))</f>
        <v>2</v>
      </c>
      <c r="AM11" s="48">
        <v>16</v>
      </c>
      <c r="AN11" s="48">
        <v>15</v>
      </c>
      <c r="AO11" s="48">
        <v>28</v>
      </c>
      <c r="AP11" s="48">
        <f t="shared" ref="AP11:AP19" si="16">SUM(AM11:AO11)</f>
        <v>59</v>
      </c>
      <c r="AQ11" s="104">
        <f t="shared" si="8"/>
        <v>0.59</v>
      </c>
      <c r="AR11" s="48" t="str">
        <f>LOOKUP(AQ11,'Semester 1'!$I$24:$I$28,'Semester 1'!$N$24:$N$28)</f>
        <v>D</v>
      </c>
      <c r="AS11" s="48" t="str">
        <f t="shared" ref="AS11:AS19" si="17">IF(AP11&gt;=80,"4",IF(AP11&gt;=70,"3",IF(AP11&gt;=60,"2",IF(AP11&gt;=50,"1",IF(AP11&lt;50,"0")))))</f>
        <v>1</v>
      </c>
      <c r="AT11" s="48">
        <f t="shared" ref="AT11:AT19" si="18">J11*$H$24+Q11*$H$25+X11*$H$26+AE11*$H$27+AL11*$H$28+AS11*$H$29</f>
        <v>48</v>
      </c>
      <c r="AU11" s="48">
        <f t="shared" ref="AU11:AU19" si="19">AT11/$H$30</f>
        <v>2.6666666666666665</v>
      </c>
      <c r="AV11" s="48">
        <f>AVERAGE(AU11,'Semester 1'!AN11,'Semester 2'!AN11,'Semester 3'!AN11)</f>
        <v>2.638095238095238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20</v>
      </c>
      <c r="E12" s="48">
        <v>22</v>
      </c>
      <c r="F12" s="48">
        <v>30</v>
      </c>
      <c r="G12" s="48">
        <f t="shared" si="0"/>
        <v>72</v>
      </c>
      <c r="H12" s="104">
        <f t="shared" si="9"/>
        <v>0.72</v>
      </c>
      <c r="I12" s="48" t="str">
        <f>LOOKUP(H12,'Semester 1'!$I$24:$I$28,'Semester 1'!$N$24:$N$28)</f>
        <v>B</v>
      </c>
      <c r="J12" s="48" t="str">
        <f t="shared" si="10"/>
        <v>3</v>
      </c>
      <c r="K12" s="48">
        <v>20</v>
      </c>
      <c r="L12" s="48">
        <v>15</v>
      </c>
      <c r="M12" s="48">
        <v>36</v>
      </c>
      <c r="N12" s="48">
        <f t="shared" si="1"/>
        <v>71</v>
      </c>
      <c r="O12" s="104">
        <f t="shared" si="2"/>
        <v>0.71</v>
      </c>
      <c r="P12" s="48" t="str">
        <f>LOOKUP(O12,'Semester 1'!$I$24:$I$28,'Semester 1'!$N$24:$N$28)</f>
        <v>B</v>
      </c>
      <c r="Q12" s="48" t="str">
        <f t="shared" si="11"/>
        <v>3</v>
      </c>
      <c r="R12" s="48">
        <v>13</v>
      </c>
      <c r="S12" s="48">
        <v>14</v>
      </c>
      <c r="T12" s="48">
        <v>32</v>
      </c>
      <c r="U12" s="48">
        <f t="shared" si="3"/>
        <v>59</v>
      </c>
      <c r="V12" s="104">
        <f t="shared" si="4"/>
        <v>0.59</v>
      </c>
      <c r="W12" s="48" t="str">
        <f>LOOKUP(V12,'Semester 1'!$I$24:$I$28,'Semester 1'!$N$24:$N$28)</f>
        <v>D</v>
      </c>
      <c r="X12" s="48" t="str">
        <f t="shared" si="12"/>
        <v>1</v>
      </c>
      <c r="Y12" s="48">
        <v>13</v>
      </c>
      <c r="Z12" s="48">
        <v>12</v>
      </c>
      <c r="AA12" s="48">
        <v>47</v>
      </c>
      <c r="AB12" s="48">
        <f t="shared" si="5"/>
        <v>72</v>
      </c>
      <c r="AC12" s="104">
        <f t="shared" si="6"/>
        <v>0.72</v>
      </c>
      <c r="AD12" s="48" t="str">
        <f>LOOKUP(AC12,'Semester 1'!$I$24:$I$28,'Semester 1'!$N$24:$N$28)</f>
        <v>B</v>
      </c>
      <c r="AE12" s="48" t="str">
        <f t="shared" si="13"/>
        <v>3</v>
      </c>
      <c r="AF12" s="48">
        <v>17</v>
      </c>
      <c r="AG12" s="48">
        <v>11</v>
      </c>
      <c r="AH12" s="48">
        <v>32</v>
      </c>
      <c r="AI12" s="48">
        <f t="shared" si="7"/>
        <v>60</v>
      </c>
      <c r="AJ12" s="104">
        <f t="shared" si="14"/>
        <v>0.6</v>
      </c>
      <c r="AK12" s="48" t="str">
        <f>LOOKUP(AJ12,'Semester 1'!$I$24:$I$28,'Semester 1'!$N$24:$N$28)</f>
        <v>C</v>
      </c>
      <c r="AL12" s="48" t="str">
        <f t="shared" si="15"/>
        <v>2</v>
      </c>
      <c r="AM12" s="48">
        <v>16</v>
      </c>
      <c r="AN12" s="48">
        <v>14</v>
      </c>
      <c r="AO12" s="48">
        <v>46</v>
      </c>
      <c r="AP12" s="48">
        <f t="shared" si="16"/>
        <v>76</v>
      </c>
      <c r="AQ12" s="104">
        <f t="shared" si="8"/>
        <v>0.76</v>
      </c>
      <c r="AR12" s="48" t="str">
        <f>LOOKUP(AQ12,'Semester 1'!$I$24:$I$28,'Semester 1'!$N$24:$N$28)</f>
        <v>B</v>
      </c>
      <c r="AS12" s="48" t="str">
        <f t="shared" si="17"/>
        <v>3</v>
      </c>
      <c r="AT12" s="48">
        <f t="shared" si="18"/>
        <v>45</v>
      </c>
      <c r="AU12" s="48">
        <f t="shared" si="19"/>
        <v>2.5</v>
      </c>
      <c r="AV12" s="48">
        <f>AVERAGE(AU12,'Semester 1'!AN12,'Semester 2'!AN12,'Semester 3'!AN12)</f>
        <v>2.5964285714285715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13</v>
      </c>
      <c r="E13" s="48">
        <v>15</v>
      </c>
      <c r="F13" s="48">
        <v>45</v>
      </c>
      <c r="G13" s="48">
        <f t="shared" si="0"/>
        <v>73</v>
      </c>
      <c r="H13" s="104">
        <f t="shared" si="9"/>
        <v>0.73</v>
      </c>
      <c r="I13" s="48" t="str">
        <f>LOOKUP(H13,'Semester 1'!$I$24:$I$28,'Semester 1'!$N$24:$N$28)</f>
        <v>B</v>
      </c>
      <c r="J13" s="48" t="str">
        <f t="shared" si="10"/>
        <v>3</v>
      </c>
      <c r="K13" s="48">
        <v>16</v>
      </c>
      <c r="L13" s="48">
        <v>15</v>
      </c>
      <c r="M13" s="48">
        <v>33</v>
      </c>
      <c r="N13" s="48">
        <f t="shared" si="1"/>
        <v>64</v>
      </c>
      <c r="O13" s="104">
        <f t="shared" si="2"/>
        <v>0.64</v>
      </c>
      <c r="P13" s="48" t="str">
        <f>LOOKUP(O13,'Semester 1'!$I$24:$I$28,'Semester 1'!$N$24:$N$28)</f>
        <v>C</v>
      </c>
      <c r="Q13" s="48" t="str">
        <f t="shared" si="11"/>
        <v>2</v>
      </c>
      <c r="R13" s="48">
        <v>19</v>
      </c>
      <c r="S13" s="48">
        <v>12</v>
      </c>
      <c r="T13" s="48">
        <v>43</v>
      </c>
      <c r="U13" s="48">
        <f t="shared" si="3"/>
        <v>74</v>
      </c>
      <c r="V13" s="104">
        <f t="shared" si="4"/>
        <v>0.74</v>
      </c>
      <c r="W13" s="48" t="str">
        <f>LOOKUP(V13,'Semester 1'!$I$24:$I$28,'Semester 1'!$N$24:$N$28)</f>
        <v>B</v>
      </c>
      <c r="X13" s="48" t="str">
        <f t="shared" si="12"/>
        <v>3</v>
      </c>
      <c r="Y13" s="48">
        <v>12</v>
      </c>
      <c r="Z13" s="48">
        <v>17</v>
      </c>
      <c r="AA13" s="48">
        <v>45</v>
      </c>
      <c r="AB13" s="48">
        <f t="shared" si="5"/>
        <v>74</v>
      </c>
      <c r="AC13" s="104">
        <f t="shared" si="6"/>
        <v>0.74</v>
      </c>
      <c r="AD13" s="48" t="str">
        <f>LOOKUP(AC13,'Semester 1'!$I$24:$I$28,'Semester 1'!$N$24:$N$28)</f>
        <v>B</v>
      </c>
      <c r="AE13" s="48" t="str">
        <f t="shared" si="13"/>
        <v>3</v>
      </c>
      <c r="AF13" s="48">
        <v>19</v>
      </c>
      <c r="AG13" s="48">
        <v>20</v>
      </c>
      <c r="AH13" s="48">
        <v>45</v>
      </c>
      <c r="AI13" s="48">
        <f t="shared" si="7"/>
        <v>84</v>
      </c>
      <c r="AJ13" s="104">
        <f t="shared" si="14"/>
        <v>0.84</v>
      </c>
      <c r="AK13" s="48" t="str">
        <f>LOOKUP(AJ13,'Semester 1'!$I$24:$I$28,'Semester 1'!$N$24:$N$28)</f>
        <v>A</v>
      </c>
      <c r="AL13" s="48" t="str">
        <f t="shared" si="15"/>
        <v>4</v>
      </c>
      <c r="AM13" s="48">
        <v>15</v>
      </c>
      <c r="AN13" s="48">
        <v>16</v>
      </c>
      <c r="AO13" s="48">
        <v>27</v>
      </c>
      <c r="AP13" s="48">
        <f t="shared" si="16"/>
        <v>58</v>
      </c>
      <c r="AQ13" s="104">
        <f t="shared" si="8"/>
        <v>0.57999999999999996</v>
      </c>
      <c r="AR13" s="48" t="str">
        <f>LOOKUP(AQ13,'Semester 1'!$I$24:$I$28,'Semester 1'!$N$24:$N$28)</f>
        <v>D</v>
      </c>
      <c r="AS13" s="48" t="str">
        <f t="shared" si="17"/>
        <v>1</v>
      </c>
      <c r="AT13" s="48">
        <f t="shared" si="18"/>
        <v>48</v>
      </c>
      <c r="AU13" s="48">
        <f t="shared" si="19"/>
        <v>2.6666666666666665</v>
      </c>
      <c r="AV13" s="48">
        <f>AVERAGE(AU13,'Semester 1'!AN13,'Semester 2'!AN13,'Semester 3'!AN13)</f>
        <v>2.6916666666666664</v>
      </c>
      <c r="AW13" s="48" t="str">
        <f t="shared" si="20"/>
        <v/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10</v>
      </c>
      <c r="E14" s="48">
        <v>20</v>
      </c>
      <c r="F14" s="48">
        <v>43</v>
      </c>
      <c r="G14" s="48">
        <f t="shared" si="0"/>
        <v>73</v>
      </c>
      <c r="H14" s="104">
        <f t="shared" si="9"/>
        <v>0.73</v>
      </c>
      <c r="I14" s="48" t="str">
        <f>LOOKUP(H14,'Semester 1'!$I$24:$I$28,'Semester 1'!$N$24:$N$28)</f>
        <v>B</v>
      </c>
      <c r="J14" s="48" t="str">
        <f t="shared" si="10"/>
        <v>3</v>
      </c>
      <c r="K14" s="48">
        <v>18</v>
      </c>
      <c r="L14" s="48">
        <v>14</v>
      </c>
      <c r="M14" s="48">
        <v>39</v>
      </c>
      <c r="N14" s="48">
        <f t="shared" si="1"/>
        <v>71</v>
      </c>
      <c r="O14" s="104">
        <f t="shared" si="2"/>
        <v>0.71</v>
      </c>
      <c r="P14" s="48" t="str">
        <f>LOOKUP(O14,'Semester 1'!$I$24:$I$28,'Semester 1'!$N$24:$N$28)</f>
        <v>B</v>
      </c>
      <c r="Q14" s="48" t="str">
        <f t="shared" si="11"/>
        <v>3</v>
      </c>
      <c r="R14" s="48">
        <v>22</v>
      </c>
      <c r="S14" s="48">
        <v>23</v>
      </c>
      <c r="T14" s="48">
        <v>43</v>
      </c>
      <c r="U14" s="48">
        <f t="shared" si="3"/>
        <v>88</v>
      </c>
      <c r="V14" s="104">
        <f t="shared" si="4"/>
        <v>0.88</v>
      </c>
      <c r="W14" s="48" t="str">
        <f>LOOKUP(V14,'Semester 1'!$I$24:$I$28,'Semester 1'!$N$24:$N$28)</f>
        <v>A</v>
      </c>
      <c r="X14" s="48" t="str">
        <f t="shared" si="12"/>
        <v>4</v>
      </c>
      <c r="Y14" s="48">
        <v>17</v>
      </c>
      <c r="Z14" s="48">
        <v>21</v>
      </c>
      <c r="AA14" s="48">
        <v>30</v>
      </c>
      <c r="AB14" s="48">
        <f t="shared" si="5"/>
        <v>68</v>
      </c>
      <c r="AC14" s="104">
        <f t="shared" si="6"/>
        <v>0.68</v>
      </c>
      <c r="AD14" s="48" t="str">
        <f>LOOKUP(AC14,'Semester 1'!$I$24:$I$28,'Semester 1'!$N$24:$N$28)</f>
        <v>C</v>
      </c>
      <c r="AE14" s="48" t="str">
        <f t="shared" si="13"/>
        <v>2</v>
      </c>
      <c r="AF14" s="48">
        <v>15</v>
      </c>
      <c r="AG14" s="48">
        <v>22</v>
      </c>
      <c r="AH14" s="48">
        <v>34</v>
      </c>
      <c r="AI14" s="48">
        <f t="shared" si="7"/>
        <v>71</v>
      </c>
      <c r="AJ14" s="104">
        <f t="shared" si="14"/>
        <v>0.71</v>
      </c>
      <c r="AK14" s="48" t="str">
        <f>LOOKUP(AJ14,'Semester 1'!$I$24:$I$28,'Semester 1'!$N$24:$N$28)</f>
        <v>B</v>
      </c>
      <c r="AL14" s="48" t="str">
        <f t="shared" si="15"/>
        <v>3</v>
      </c>
      <c r="AM14" s="48">
        <v>10</v>
      </c>
      <c r="AN14" s="48">
        <v>23</v>
      </c>
      <c r="AO14" s="48">
        <v>46</v>
      </c>
      <c r="AP14" s="48">
        <f t="shared" si="16"/>
        <v>79</v>
      </c>
      <c r="AQ14" s="104">
        <f t="shared" si="8"/>
        <v>0.79</v>
      </c>
      <c r="AR14" s="48" t="str">
        <f>LOOKUP(AQ14,'Semester 1'!$I$24:$I$28,'Semester 1'!$N$24:$N$28)</f>
        <v>B</v>
      </c>
      <c r="AS14" s="48" t="str">
        <f t="shared" si="17"/>
        <v>3</v>
      </c>
      <c r="AT14" s="48">
        <f t="shared" si="18"/>
        <v>54</v>
      </c>
      <c r="AU14" s="48">
        <f t="shared" si="19"/>
        <v>3</v>
      </c>
      <c r="AV14" s="48">
        <f>AVERAGE(AU14,'Semester 1'!AN14,'Semester 2'!AN14,'Semester 3'!AN14)</f>
        <v>2.5249999999999999</v>
      </c>
      <c r="AW14" s="48" t="str">
        <f t="shared" si="20"/>
        <v>Third</v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16</v>
      </c>
      <c r="E15" s="48">
        <v>17</v>
      </c>
      <c r="F15" s="48">
        <v>30</v>
      </c>
      <c r="G15" s="48">
        <f t="shared" si="0"/>
        <v>63</v>
      </c>
      <c r="H15" s="104">
        <f t="shared" si="9"/>
        <v>0.63</v>
      </c>
      <c r="I15" s="48" t="str">
        <f>LOOKUP(H15,'Semester 1'!$I$24:$I$28,'Semester 1'!$N$24:$N$28)</f>
        <v>C</v>
      </c>
      <c r="J15" s="48" t="str">
        <f t="shared" si="10"/>
        <v>2</v>
      </c>
      <c r="K15" s="48">
        <v>23</v>
      </c>
      <c r="L15" s="48">
        <v>17</v>
      </c>
      <c r="M15" s="48">
        <v>37</v>
      </c>
      <c r="N15" s="48">
        <f t="shared" si="1"/>
        <v>77</v>
      </c>
      <c r="O15" s="104">
        <f t="shared" si="2"/>
        <v>0.77</v>
      </c>
      <c r="P15" s="48" t="str">
        <f>LOOKUP(O15,'Semester 1'!$I$24:$I$28,'Semester 1'!$N$24:$N$28)</f>
        <v>B</v>
      </c>
      <c r="Q15" s="48" t="str">
        <f t="shared" si="11"/>
        <v>3</v>
      </c>
      <c r="R15" s="48">
        <v>10</v>
      </c>
      <c r="S15" s="48">
        <v>13</v>
      </c>
      <c r="T15" s="48">
        <v>31</v>
      </c>
      <c r="U15" s="48">
        <f t="shared" si="3"/>
        <v>54</v>
      </c>
      <c r="V15" s="104">
        <f t="shared" si="4"/>
        <v>0.54</v>
      </c>
      <c r="W15" s="48" t="str">
        <f>LOOKUP(V15,'Semester 1'!$I$24:$I$28,'Semester 1'!$N$24:$N$28)</f>
        <v>D</v>
      </c>
      <c r="X15" s="48" t="str">
        <f t="shared" si="12"/>
        <v>1</v>
      </c>
      <c r="Y15" s="48">
        <v>18</v>
      </c>
      <c r="Z15" s="48">
        <v>16</v>
      </c>
      <c r="AA15" s="48">
        <v>41</v>
      </c>
      <c r="AB15" s="48">
        <f t="shared" si="5"/>
        <v>75</v>
      </c>
      <c r="AC15" s="104">
        <f t="shared" si="6"/>
        <v>0.75</v>
      </c>
      <c r="AD15" s="48" t="str">
        <f>LOOKUP(AC15,'Semester 1'!$I$24:$I$28,'Semester 1'!$N$24:$N$28)</f>
        <v>B</v>
      </c>
      <c r="AE15" s="48" t="str">
        <f t="shared" si="13"/>
        <v>3</v>
      </c>
      <c r="AF15" s="48">
        <v>19</v>
      </c>
      <c r="AG15" s="48">
        <v>20</v>
      </c>
      <c r="AH15" s="48">
        <v>38</v>
      </c>
      <c r="AI15" s="48">
        <f t="shared" si="7"/>
        <v>77</v>
      </c>
      <c r="AJ15" s="104">
        <f t="shared" si="14"/>
        <v>0.77</v>
      </c>
      <c r="AK15" s="48" t="str">
        <f>LOOKUP(AJ15,'Semester 1'!$I$24:$I$28,'Semester 1'!$N$24:$N$28)</f>
        <v>B</v>
      </c>
      <c r="AL15" s="48" t="str">
        <f t="shared" si="15"/>
        <v>3</v>
      </c>
      <c r="AM15" s="48">
        <v>12</v>
      </c>
      <c r="AN15" s="48">
        <v>15</v>
      </c>
      <c r="AO15" s="48">
        <v>37</v>
      </c>
      <c r="AP15" s="48">
        <f t="shared" si="16"/>
        <v>64</v>
      </c>
      <c r="AQ15" s="104">
        <f t="shared" si="8"/>
        <v>0.64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42</v>
      </c>
      <c r="AU15" s="48">
        <f t="shared" si="19"/>
        <v>2.3333333333333335</v>
      </c>
      <c r="AV15" s="48">
        <f>AVERAGE(AU15,'Semester 1'!AN15,'Semester 2'!AN15,'Semester 3'!AN15)</f>
        <v>2.2726190476190475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16</v>
      </c>
      <c r="E16" s="48">
        <v>10</v>
      </c>
      <c r="F16" s="48">
        <v>37</v>
      </c>
      <c r="G16" s="48">
        <f t="shared" si="0"/>
        <v>63</v>
      </c>
      <c r="H16" s="104">
        <f t="shared" si="9"/>
        <v>0.63</v>
      </c>
      <c r="I16" s="48" t="str">
        <f>LOOKUP(H16,'Semester 1'!$I$24:$I$28,'Semester 1'!$N$24:$N$28)</f>
        <v>C</v>
      </c>
      <c r="J16" s="48" t="str">
        <f t="shared" si="10"/>
        <v>2</v>
      </c>
      <c r="K16" s="48">
        <v>20</v>
      </c>
      <c r="L16" s="48">
        <v>14</v>
      </c>
      <c r="M16" s="48">
        <v>33</v>
      </c>
      <c r="N16" s="48">
        <f t="shared" si="1"/>
        <v>67</v>
      </c>
      <c r="O16" s="104">
        <f t="shared" si="2"/>
        <v>0.67</v>
      </c>
      <c r="P16" s="48" t="str">
        <f>LOOKUP(O16,'Semester 1'!$I$24:$I$28,'Semester 1'!$N$24:$N$28)</f>
        <v>C</v>
      </c>
      <c r="Q16" s="48" t="str">
        <f t="shared" si="11"/>
        <v>2</v>
      </c>
      <c r="R16" s="48">
        <v>17</v>
      </c>
      <c r="S16" s="48">
        <v>17</v>
      </c>
      <c r="T16" s="48">
        <v>34</v>
      </c>
      <c r="U16" s="48">
        <f t="shared" si="3"/>
        <v>68</v>
      </c>
      <c r="V16" s="104">
        <f t="shared" si="4"/>
        <v>0.68</v>
      </c>
      <c r="W16" s="48" t="str">
        <f>LOOKUP(V16,'Semester 1'!$I$24:$I$28,'Semester 1'!$N$24:$N$28)</f>
        <v>C</v>
      </c>
      <c r="X16" s="48" t="str">
        <f t="shared" si="12"/>
        <v>2</v>
      </c>
      <c r="Y16" s="48">
        <v>10</v>
      </c>
      <c r="Z16" s="48">
        <v>19</v>
      </c>
      <c r="AA16" s="48">
        <v>33</v>
      </c>
      <c r="AB16" s="48">
        <f t="shared" si="5"/>
        <v>62</v>
      </c>
      <c r="AC16" s="104">
        <f t="shared" si="6"/>
        <v>0.62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22</v>
      </c>
      <c r="AG16" s="48">
        <v>13</v>
      </c>
      <c r="AH16" s="48">
        <v>34</v>
      </c>
      <c r="AI16" s="48">
        <f t="shared" si="7"/>
        <v>69</v>
      </c>
      <c r="AJ16" s="104">
        <f t="shared" si="14"/>
        <v>0.69</v>
      </c>
      <c r="AK16" s="48" t="str">
        <f>LOOKUP(AJ16,'Semester 1'!$I$24:$I$28,'Semester 1'!$N$24:$N$28)</f>
        <v>C</v>
      </c>
      <c r="AL16" s="48" t="str">
        <f t="shared" si="15"/>
        <v>2</v>
      </c>
      <c r="AM16" s="48">
        <v>18</v>
      </c>
      <c r="AN16" s="48">
        <v>14</v>
      </c>
      <c r="AO16" s="48">
        <v>36</v>
      </c>
      <c r="AP16" s="48">
        <f t="shared" si="16"/>
        <v>68</v>
      </c>
      <c r="AQ16" s="104">
        <f t="shared" si="8"/>
        <v>0.68</v>
      </c>
      <c r="AR16" s="48" t="str">
        <f>LOOKUP(AQ16,'Semester 1'!$I$24:$I$28,'Semester 1'!$N$24:$N$28)</f>
        <v>C</v>
      </c>
      <c r="AS16" s="48" t="str">
        <f t="shared" si="17"/>
        <v>2</v>
      </c>
      <c r="AT16" s="48">
        <f t="shared" si="18"/>
        <v>36</v>
      </c>
      <c r="AU16" s="48">
        <f t="shared" si="19"/>
        <v>2</v>
      </c>
      <c r="AV16" s="48">
        <f>AVERAGE(AU16,'Semester 1'!AN16,'Semester 2'!AN16,'Semester 3'!AN16)</f>
        <v>2.0964285714285715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16</v>
      </c>
      <c r="E17" s="48">
        <v>10</v>
      </c>
      <c r="F17" s="48">
        <v>32</v>
      </c>
      <c r="G17" s="48">
        <f t="shared" si="0"/>
        <v>58</v>
      </c>
      <c r="H17" s="104">
        <f t="shared" si="9"/>
        <v>0.57999999999999996</v>
      </c>
      <c r="I17" s="48" t="str">
        <f>LOOKUP(H17,'Semester 1'!$I$24:$I$28,'Semester 1'!$N$24:$N$28)</f>
        <v>D</v>
      </c>
      <c r="J17" s="48" t="str">
        <f t="shared" si="10"/>
        <v>1</v>
      </c>
      <c r="K17" s="48">
        <v>17</v>
      </c>
      <c r="L17" s="48">
        <v>15</v>
      </c>
      <c r="M17" s="48">
        <v>41</v>
      </c>
      <c r="N17" s="48">
        <f t="shared" si="1"/>
        <v>73</v>
      </c>
      <c r="O17" s="104">
        <f t="shared" si="2"/>
        <v>0.73</v>
      </c>
      <c r="P17" s="48" t="str">
        <f>LOOKUP(O17,'Semester 1'!$I$24:$I$28,'Semester 1'!$N$24:$N$28)</f>
        <v>B</v>
      </c>
      <c r="Q17" s="48" t="str">
        <f t="shared" si="11"/>
        <v>3</v>
      </c>
      <c r="R17" s="48">
        <v>10</v>
      </c>
      <c r="S17" s="48">
        <v>20</v>
      </c>
      <c r="T17" s="48">
        <v>33</v>
      </c>
      <c r="U17" s="48">
        <f t="shared" si="3"/>
        <v>63</v>
      </c>
      <c r="V17" s="104">
        <f t="shared" si="4"/>
        <v>0.63</v>
      </c>
      <c r="W17" s="48" t="str">
        <f>LOOKUP(V17,'Semester 1'!$I$24:$I$28,'Semester 1'!$N$24:$N$28)</f>
        <v>C</v>
      </c>
      <c r="X17" s="48" t="str">
        <f t="shared" si="12"/>
        <v>2</v>
      </c>
      <c r="Y17" s="48">
        <v>21</v>
      </c>
      <c r="Z17" s="48">
        <v>22</v>
      </c>
      <c r="AA17" s="48">
        <v>42</v>
      </c>
      <c r="AB17" s="48">
        <f t="shared" si="5"/>
        <v>85</v>
      </c>
      <c r="AC17" s="104">
        <f t="shared" si="6"/>
        <v>0.85</v>
      </c>
      <c r="AD17" s="48" t="str">
        <f>LOOKUP(AC17,'Semester 1'!$I$24:$I$28,'Semester 1'!$N$24:$N$28)</f>
        <v>A</v>
      </c>
      <c r="AE17" s="48" t="str">
        <f t="shared" si="13"/>
        <v>4</v>
      </c>
      <c r="AF17" s="48">
        <v>23</v>
      </c>
      <c r="AG17" s="48">
        <v>18</v>
      </c>
      <c r="AH17" s="48">
        <v>37</v>
      </c>
      <c r="AI17" s="48">
        <f t="shared" si="7"/>
        <v>78</v>
      </c>
      <c r="AJ17" s="104">
        <f t="shared" si="14"/>
        <v>0.78</v>
      </c>
      <c r="AK17" s="48" t="str">
        <f>LOOKUP(AJ17,'Semester 1'!$I$24:$I$28,'Semester 1'!$N$24:$N$28)</f>
        <v>B</v>
      </c>
      <c r="AL17" s="48" t="str">
        <f t="shared" si="15"/>
        <v>3</v>
      </c>
      <c r="AM17" s="48">
        <v>18</v>
      </c>
      <c r="AN17" s="48">
        <v>23</v>
      </c>
      <c r="AO17" s="48">
        <v>37</v>
      </c>
      <c r="AP17" s="48">
        <f t="shared" si="16"/>
        <v>78</v>
      </c>
      <c r="AQ17" s="104">
        <f t="shared" si="8"/>
        <v>0.78</v>
      </c>
      <c r="AR17" s="48" t="str">
        <f>LOOKUP(AQ17,'Semester 1'!$I$24:$I$28,'Semester 1'!$N$24:$N$28)</f>
        <v>B</v>
      </c>
      <c r="AS17" s="48" t="str">
        <f t="shared" si="17"/>
        <v>3</v>
      </c>
      <c r="AT17" s="48">
        <f t="shared" si="18"/>
        <v>48</v>
      </c>
      <c r="AU17" s="48">
        <f t="shared" si="19"/>
        <v>2.6666666666666665</v>
      </c>
      <c r="AV17" s="48">
        <f>AVERAGE(AU17,'Semester 1'!AN17,'Semester 2'!AN17,'Semester 3'!AN17)</f>
        <v>2.1702380952380955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16</v>
      </c>
      <c r="F18" s="48">
        <v>33</v>
      </c>
      <c r="G18" s="48">
        <f t="shared" si="0"/>
        <v>67</v>
      </c>
      <c r="H18" s="104">
        <f t="shared" si="9"/>
        <v>0.67</v>
      </c>
      <c r="I18" s="48" t="str">
        <f>LOOKUP(H18,'Semester 1'!$I$24:$I$28,'Semester 1'!$N$24:$N$28)</f>
        <v>C</v>
      </c>
      <c r="J18" s="48" t="str">
        <f t="shared" si="10"/>
        <v>2</v>
      </c>
      <c r="K18" s="48">
        <v>20</v>
      </c>
      <c r="L18" s="48">
        <v>16</v>
      </c>
      <c r="M18" s="48">
        <v>36</v>
      </c>
      <c r="N18" s="48">
        <f t="shared" si="1"/>
        <v>72</v>
      </c>
      <c r="O18" s="104">
        <f t="shared" si="2"/>
        <v>0.72</v>
      </c>
      <c r="P18" s="48" t="str">
        <f>LOOKUP(O18,'Semester 1'!$I$24:$I$28,'Semester 1'!$N$24:$N$28)</f>
        <v>B</v>
      </c>
      <c r="Q18" s="48" t="str">
        <f t="shared" si="11"/>
        <v>3</v>
      </c>
      <c r="R18" s="48">
        <v>14</v>
      </c>
      <c r="S18" s="48">
        <v>23</v>
      </c>
      <c r="T18" s="48">
        <v>31</v>
      </c>
      <c r="U18" s="48">
        <f t="shared" si="3"/>
        <v>68</v>
      </c>
      <c r="V18" s="104">
        <f t="shared" si="4"/>
        <v>0.68</v>
      </c>
      <c r="W18" s="48" t="str">
        <f>LOOKUP(V18,'Semester 1'!$I$24:$I$28,'Semester 1'!$N$24:$N$28)</f>
        <v>C</v>
      </c>
      <c r="X18" s="48" t="str">
        <f t="shared" si="12"/>
        <v>2</v>
      </c>
      <c r="Y18" s="48">
        <v>14</v>
      </c>
      <c r="Z18" s="48">
        <v>15</v>
      </c>
      <c r="AA18" s="48">
        <v>42</v>
      </c>
      <c r="AB18" s="48">
        <f t="shared" si="5"/>
        <v>71</v>
      </c>
      <c r="AC18" s="104">
        <f t="shared" si="6"/>
        <v>0.71</v>
      </c>
      <c r="AD18" s="48" t="str">
        <f>LOOKUP(AC18,'Semester 1'!$I$24:$I$28,'Semester 1'!$N$24:$N$28)</f>
        <v>B</v>
      </c>
      <c r="AE18" s="48" t="str">
        <f t="shared" si="13"/>
        <v>3</v>
      </c>
      <c r="AF18" s="48">
        <v>10</v>
      </c>
      <c r="AG18" s="48">
        <v>10</v>
      </c>
      <c r="AH18" s="48">
        <v>32</v>
      </c>
      <c r="AI18" s="48">
        <f t="shared" si="7"/>
        <v>52</v>
      </c>
      <c r="AJ18" s="104">
        <f t="shared" si="14"/>
        <v>0.52</v>
      </c>
      <c r="AK18" s="48" t="str">
        <f>LOOKUP(AJ18,'Semester 1'!$I$24:$I$28,'Semester 1'!$N$24:$N$28)</f>
        <v>D</v>
      </c>
      <c r="AL18" s="48" t="str">
        <f t="shared" si="15"/>
        <v>1</v>
      </c>
      <c r="AM18" s="48">
        <v>21</v>
      </c>
      <c r="AN18" s="48">
        <v>16</v>
      </c>
      <c r="AO18" s="48">
        <v>32</v>
      </c>
      <c r="AP18" s="48">
        <f t="shared" si="16"/>
        <v>69</v>
      </c>
      <c r="AQ18" s="104">
        <f t="shared" si="8"/>
        <v>0.69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39</v>
      </c>
      <c r="AU18" s="48">
        <f t="shared" si="19"/>
        <v>2.1666666666666665</v>
      </c>
      <c r="AV18" s="48">
        <f>AVERAGE(AU18,'Semester 1'!AN18,'Semester 2'!AN18,'Semester 3'!AN18)</f>
        <v>2.4023809523809518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22</v>
      </c>
      <c r="F19" s="89">
        <v>43</v>
      </c>
      <c r="G19" s="89">
        <f t="shared" si="0"/>
        <v>85</v>
      </c>
      <c r="H19" s="105">
        <f t="shared" si="9"/>
        <v>0.85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23</v>
      </c>
      <c r="L19" s="89">
        <v>21</v>
      </c>
      <c r="M19" s="89">
        <v>43</v>
      </c>
      <c r="N19" s="89">
        <f t="shared" si="1"/>
        <v>87</v>
      </c>
      <c r="O19" s="105">
        <f t="shared" si="2"/>
        <v>0.87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17</v>
      </c>
      <c r="S19" s="89">
        <v>22</v>
      </c>
      <c r="T19" s="89">
        <v>47</v>
      </c>
      <c r="U19" s="89">
        <f t="shared" si="3"/>
        <v>86</v>
      </c>
      <c r="V19" s="105">
        <f t="shared" si="4"/>
        <v>0.86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20</v>
      </c>
      <c r="Z19" s="89">
        <v>18</v>
      </c>
      <c r="AA19" s="89">
        <v>43</v>
      </c>
      <c r="AB19" s="89">
        <f t="shared" si="5"/>
        <v>81</v>
      </c>
      <c r="AC19" s="105">
        <f t="shared" si="6"/>
        <v>0.81</v>
      </c>
      <c r="AD19" s="89" t="str">
        <f>LOOKUP(AC19,'Semester 1'!$I$24:$I$28,'Semester 1'!$N$24:$N$28)</f>
        <v>A</v>
      </c>
      <c r="AE19" s="89" t="str">
        <f t="shared" si="13"/>
        <v>4</v>
      </c>
      <c r="AF19" s="89">
        <v>17</v>
      </c>
      <c r="AG19" s="89">
        <v>23</v>
      </c>
      <c r="AH19" s="89">
        <v>36</v>
      </c>
      <c r="AI19" s="89">
        <f t="shared" si="7"/>
        <v>76</v>
      </c>
      <c r="AJ19" s="105">
        <f t="shared" si="14"/>
        <v>0.76</v>
      </c>
      <c r="AK19" s="89" t="str">
        <f>LOOKUP(AJ19,'Semester 1'!$I$24:$I$28,'Semester 1'!$N$24:$N$28)</f>
        <v>B</v>
      </c>
      <c r="AL19" s="89" t="str">
        <f t="shared" si="15"/>
        <v>3</v>
      </c>
      <c r="AM19" s="89">
        <v>15</v>
      </c>
      <c r="AN19" s="89">
        <v>15</v>
      </c>
      <c r="AO19" s="89">
        <v>37</v>
      </c>
      <c r="AP19" s="89">
        <f t="shared" si="16"/>
        <v>67</v>
      </c>
      <c r="AQ19" s="105">
        <f t="shared" si="8"/>
        <v>0.67</v>
      </c>
      <c r="AR19" s="89" t="str">
        <f>LOOKUP(AQ19,'Semester 1'!$I$24:$I$28,'Semester 1'!$N$24:$N$28)</f>
        <v>C</v>
      </c>
      <c r="AS19" s="89" t="str">
        <f t="shared" si="17"/>
        <v>2</v>
      </c>
      <c r="AT19" s="89">
        <f t="shared" si="18"/>
        <v>63</v>
      </c>
      <c r="AU19" s="89">
        <f t="shared" si="19"/>
        <v>3.5</v>
      </c>
      <c r="AV19" s="89">
        <f>AVERAGE(AU19,'Semester 1'!AN19,'Semester 2'!AN19,'Semester 3'!AN19)</f>
        <v>3.7678571428571428</v>
      </c>
      <c r="AW19" s="89" t="str">
        <f t="shared" si="20"/>
        <v>First</v>
      </c>
    </row>
    <row r="20" spans="2:49" x14ac:dyDescent="0.3">
      <c r="V20" s="8"/>
      <c r="AC20" s="8"/>
      <c r="AJ20" s="8"/>
      <c r="AQ20" s="8"/>
    </row>
    <row r="22" spans="2:49" ht="15" thickBot="1" x14ac:dyDescent="0.35">
      <c r="H22" s="18"/>
      <c r="I22" s="18"/>
    </row>
    <row r="23" spans="2:49" ht="15.6" x14ac:dyDescent="0.3">
      <c r="F23" s="34" t="s">
        <v>26</v>
      </c>
      <c r="G23" s="35" t="s">
        <v>40</v>
      </c>
      <c r="H23" s="41" t="s">
        <v>46</v>
      </c>
      <c r="I23" s="18"/>
      <c r="J23" s="18"/>
      <c r="K23" s="18"/>
      <c r="L23" s="18"/>
      <c r="M23" s="18"/>
      <c r="N23" s="18"/>
      <c r="O23" s="18"/>
      <c r="P23" s="18"/>
      <c r="Q23" s="18"/>
    </row>
    <row r="24" spans="2:49" x14ac:dyDescent="0.3">
      <c r="F24" s="36">
        <v>1</v>
      </c>
      <c r="G24" s="37" t="s">
        <v>47</v>
      </c>
      <c r="H24" s="2">
        <v>3</v>
      </c>
      <c r="I24" s="15"/>
      <c r="J24" s="19"/>
      <c r="K24" s="19"/>
      <c r="L24" s="19"/>
      <c r="M24" s="19"/>
      <c r="N24" s="19"/>
      <c r="O24" s="19"/>
      <c r="P24" s="19"/>
      <c r="Q24" s="19"/>
    </row>
    <row r="25" spans="2:49" x14ac:dyDescent="0.3">
      <c r="F25" s="36">
        <v>2</v>
      </c>
      <c r="G25" s="37" t="s">
        <v>48</v>
      </c>
      <c r="H25" s="2">
        <v>3</v>
      </c>
      <c r="I25" s="15"/>
      <c r="J25" s="19"/>
      <c r="K25" s="19"/>
      <c r="L25" s="19"/>
      <c r="M25" s="19"/>
      <c r="N25" s="19"/>
      <c r="O25" s="19"/>
      <c r="P25" s="19"/>
      <c r="Q25" s="19"/>
    </row>
    <row r="26" spans="2:49" x14ac:dyDescent="0.3">
      <c r="F26" s="36">
        <v>3</v>
      </c>
      <c r="G26" s="37" t="s">
        <v>49</v>
      </c>
      <c r="H26" s="2">
        <v>3</v>
      </c>
      <c r="I26" s="15"/>
      <c r="J26" s="19"/>
      <c r="K26" s="19"/>
      <c r="L26" s="19"/>
      <c r="M26" s="19"/>
      <c r="N26" s="19"/>
      <c r="O26" s="19"/>
      <c r="P26" s="19"/>
      <c r="Q26" s="19"/>
    </row>
    <row r="27" spans="2:49" x14ac:dyDescent="0.3">
      <c r="F27" s="36">
        <v>4</v>
      </c>
      <c r="G27" s="37" t="s">
        <v>50</v>
      </c>
      <c r="H27" s="2">
        <v>3</v>
      </c>
      <c r="I27" s="15"/>
      <c r="J27" s="19"/>
      <c r="K27" s="19"/>
      <c r="L27" s="19"/>
      <c r="M27" s="19"/>
      <c r="N27" s="19"/>
      <c r="O27" s="19"/>
      <c r="P27" s="19"/>
      <c r="Q27" s="19"/>
    </row>
    <row r="28" spans="2:49" x14ac:dyDescent="0.3">
      <c r="F28" s="36">
        <v>5</v>
      </c>
      <c r="G28" s="37" t="s">
        <v>51</v>
      </c>
      <c r="H28" s="2">
        <v>3</v>
      </c>
      <c r="I28" s="15"/>
      <c r="J28" s="19"/>
      <c r="K28" s="19"/>
      <c r="L28" s="19"/>
      <c r="M28" s="19"/>
      <c r="N28" s="19"/>
      <c r="O28" s="19"/>
      <c r="P28" s="19"/>
      <c r="Q28" s="19"/>
    </row>
    <row r="29" spans="2:49" ht="15" thickBot="1" x14ac:dyDescent="0.35">
      <c r="F29" s="36">
        <v>6</v>
      </c>
      <c r="G29" s="37" t="s">
        <v>52</v>
      </c>
      <c r="H29" s="2">
        <v>3</v>
      </c>
    </row>
    <row r="30" spans="2:49" ht="15" thickBot="1" x14ac:dyDescent="0.35">
      <c r="F30" s="39"/>
      <c r="G30" s="40" t="s">
        <v>32</v>
      </c>
      <c r="H30" s="38">
        <f>SUM(H24:H29)</f>
        <v>18</v>
      </c>
    </row>
  </sheetData>
  <mergeCells count="9">
    <mergeCell ref="B2:C3"/>
    <mergeCell ref="AM8:AS8"/>
    <mergeCell ref="B7:C8"/>
    <mergeCell ref="D8:J8"/>
    <mergeCell ref="K8:Q8"/>
    <mergeCell ref="R8:X8"/>
    <mergeCell ref="Y8:AE8"/>
    <mergeCell ref="AF8:AL8"/>
    <mergeCell ref="B4:C5"/>
  </mergeCells>
  <conditionalFormatting sqref="I10:I19 P10:P19 W10:W19 AD10:AD19 AK10:AK19 AR10:AR19">
    <cfRule type="containsText" dxfId="20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1280160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5" name="Button 27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1280160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W30"/>
  <sheetViews>
    <sheetView workbookViewId="0">
      <selection activeCell="E3" sqref="E3"/>
    </sheetView>
  </sheetViews>
  <sheetFormatPr defaultColWidth="8.77734375" defaultRowHeight="14.4" x14ac:dyDescent="0.3"/>
  <cols>
    <col min="3" max="3" width="18.44140625" customWidth="1"/>
    <col min="4" max="6" width="7.6640625" bestFit="1" customWidth="1"/>
    <col min="7" max="7" width="37.109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5.7773437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7773437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7773437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7773437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7773437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7" width="5.33203125" bestFit="1" customWidth="1"/>
    <col min="48" max="48" width="8.441406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20</v>
      </c>
      <c r="C7" s="149"/>
    </row>
    <row r="8" spans="2:49" ht="15" thickBot="1" x14ac:dyDescent="0.35">
      <c r="B8" s="150"/>
      <c r="C8" s="151"/>
      <c r="D8" s="152" t="s">
        <v>86</v>
      </c>
      <c r="E8" s="153"/>
      <c r="F8" s="153"/>
      <c r="G8" s="153"/>
      <c r="H8" s="153"/>
      <c r="I8" s="153"/>
      <c r="J8" s="154"/>
      <c r="K8" s="152" t="s">
        <v>88</v>
      </c>
      <c r="L8" s="153"/>
      <c r="M8" s="153"/>
      <c r="N8" s="153"/>
      <c r="O8" s="153"/>
      <c r="P8" s="153"/>
      <c r="Q8" s="154"/>
      <c r="R8" s="152" t="s">
        <v>53</v>
      </c>
      <c r="S8" s="153"/>
      <c r="T8" s="153"/>
      <c r="U8" s="153"/>
      <c r="V8" s="153"/>
      <c r="W8" s="153"/>
      <c r="X8" s="154"/>
      <c r="Y8" s="152" t="s">
        <v>81</v>
      </c>
      <c r="Z8" s="153"/>
      <c r="AA8" s="153"/>
      <c r="AB8" s="153"/>
      <c r="AC8" s="153"/>
      <c r="AD8" s="153"/>
      <c r="AE8" s="154"/>
      <c r="AF8" s="152" t="s">
        <v>55</v>
      </c>
      <c r="AG8" s="153"/>
      <c r="AH8" s="153"/>
      <c r="AI8" s="153"/>
      <c r="AJ8" s="153"/>
      <c r="AK8" s="153"/>
      <c r="AL8" s="154"/>
      <c r="AM8" s="152" t="s">
        <v>87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2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2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2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2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2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2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18</v>
      </c>
      <c r="E10" s="48">
        <v>17</v>
      </c>
      <c r="F10" s="48">
        <v>40</v>
      </c>
      <c r="G10" s="48">
        <f t="shared" ref="G10:G19" si="0">SUM(D10:F10)</f>
        <v>75</v>
      </c>
      <c r="H10" s="104">
        <f t="shared" ref="H10:H19" si="1">G10/100</f>
        <v>0.75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18</v>
      </c>
      <c r="L10" s="48">
        <v>16</v>
      </c>
      <c r="M10" s="48">
        <v>38</v>
      </c>
      <c r="N10" s="48">
        <f t="shared" ref="N10:N19" si="2">SUM(K10:M10)</f>
        <v>72</v>
      </c>
      <c r="O10" s="104">
        <f t="shared" ref="O10:O19" si="3">N10/100</f>
        <v>0.72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22</v>
      </c>
      <c r="S10" s="48">
        <v>23</v>
      </c>
      <c r="T10" s="48">
        <v>42</v>
      </c>
      <c r="U10" s="48">
        <f t="shared" ref="U10:U19" si="4">SUM(R10:T10)</f>
        <v>87</v>
      </c>
      <c r="V10" s="104">
        <f t="shared" ref="V10:V19" si="5">U10/100</f>
        <v>0.87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18</v>
      </c>
      <c r="Z10" s="48">
        <v>22</v>
      </c>
      <c r="AA10" s="48">
        <v>44</v>
      </c>
      <c r="AB10" s="48">
        <f t="shared" ref="AB10:AB19" si="6">SUM(Y10:AA10)</f>
        <v>84</v>
      </c>
      <c r="AC10" s="104">
        <f t="shared" ref="AC10:AC19" si="7">AB10/100</f>
        <v>0.84</v>
      </c>
      <c r="AD10" s="48" t="str">
        <f>LOOKUP(AC10,'Semester 1'!$I$24:$I$28,'Semester 1'!$N$24:$N$28)</f>
        <v>A</v>
      </c>
      <c r="AE10" s="48" t="str">
        <f>IF(AB10&gt;=80,"4",IF(AB10&gt;=70,"3",IF(AB10&gt;=60,"2",IF(AB10&gt;=50,"1",IF(AB10&lt;50,"0")))))</f>
        <v>4</v>
      </c>
      <c r="AF10" s="48">
        <v>23</v>
      </c>
      <c r="AG10" s="48">
        <v>22</v>
      </c>
      <c r="AH10" s="48">
        <v>40</v>
      </c>
      <c r="AI10" s="48">
        <f t="shared" ref="AI10:AI19" si="8">SUM(AF10:AH10)</f>
        <v>85</v>
      </c>
      <c r="AJ10" s="104">
        <f t="shared" ref="AJ10:AJ19" si="9">AI10/100</f>
        <v>0.85</v>
      </c>
      <c r="AK10" s="48" t="str">
        <f>LOOKUP(AJ10,'Semester 1'!$I$24:$I$28,'Semester 1'!$N$24:$N$28)</f>
        <v>A</v>
      </c>
      <c r="AL10" s="48" t="str">
        <f>IF(AI10&gt;=80,"4",IF(AI10&gt;=70,"3",IF(AI10&gt;=60,"2",IF(AI10&gt;=50,"1",IF(AI10&lt;50,"0")))))</f>
        <v>4</v>
      </c>
      <c r="AM10" s="48">
        <v>17</v>
      </c>
      <c r="AN10" s="48">
        <v>16</v>
      </c>
      <c r="AO10" s="48">
        <v>35</v>
      </c>
      <c r="AP10" s="48">
        <f t="shared" ref="AP10:AP19" si="10">SUM(AM10:AO10)</f>
        <v>68</v>
      </c>
      <c r="AQ10" s="104">
        <f t="shared" ref="AQ10:AQ19" si="11">AP10/100</f>
        <v>0.68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f>J10*$H$24+Q10*$H$25+X10*$H$26+AE10*$H$27+AL10*$H$28+AS10*$H$29</f>
        <v>60</v>
      </c>
      <c r="AU10" s="48">
        <f>AT10/$H$30</f>
        <v>3.3333333333333335</v>
      </c>
      <c r="AV10" s="98">
        <f>AVERAGE(AU10,'Semester 1'!AN10,'Semester 2'!AN10,'Semester 3'!AN10,'Semester 4'!AU10)</f>
        <v>3.4190476190476189</v>
      </c>
      <c r="AW10" s="48" t="str">
        <f>IF(LARGE($AU$10:$AU$19,1)=AU10,"First",IF(LARGE($AU$10:$AU$19,2)=AU10,"Second",IF(LARGE($AU$10:$AU$19,3)=AU10,"Third","")))</f>
        <v>Second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17</v>
      </c>
      <c r="E11" s="48">
        <v>8</v>
      </c>
      <c r="F11" s="48">
        <v>30</v>
      </c>
      <c r="G11" s="48">
        <f t="shared" si="0"/>
        <v>55</v>
      </c>
      <c r="H11" s="104">
        <f t="shared" si="1"/>
        <v>0.55000000000000004</v>
      </c>
      <c r="I11" s="48" t="str">
        <f>LOOKUP(H11,'Semester 1'!$I$24:$I$28,'Semester 1'!$N$24:$N$28)</f>
        <v>D</v>
      </c>
      <c r="J11" s="48" t="str">
        <f t="shared" ref="J11:J19" si="12">IF(G11&gt;=80,"4",IF(G11&gt;=70,"3",IF(G11&gt;=60,"2",IF(G11&gt;=50,"1",IF(G11&lt;50,"0")))))</f>
        <v>1</v>
      </c>
      <c r="K11" s="48">
        <v>21</v>
      </c>
      <c r="L11" s="48">
        <v>15</v>
      </c>
      <c r="M11" s="48">
        <v>39</v>
      </c>
      <c r="N11" s="48">
        <f t="shared" si="2"/>
        <v>75</v>
      </c>
      <c r="O11" s="104">
        <f t="shared" si="3"/>
        <v>0.75</v>
      </c>
      <c r="P11" s="48" t="str">
        <f>LOOKUP(O11,'Semester 1'!$I$24:$I$28,'Semester 1'!$N$24:$N$28)</f>
        <v>B</v>
      </c>
      <c r="Q11" s="48" t="str">
        <f t="shared" ref="Q11:Q19" si="13">IF(N11&gt;=80,"4",IF(N11&gt;=70,"3",IF(N11&gt;=60,"2",IF(N11&gt;=50,"1",IF(N11&lt;50,"0")))))</f>
        <v>3</v>
      </c>
      <c r="R11" s="48">
        <v>19</v>
      </c>
      <c r="S11" s="48">
        <v>18</v>
      </c>
      <c r="T11" s="48">
        <v>32</v>
      </c>
      <c r="U11" s="48">
        <f t="shared" si="4"/>
        <v>69</v>
      </c>
      <c r="V11" s="104">
        <f t="shared" si="5"/>
        <v>0.69</v>
      </c>
      <c r="W11" s="48" t="str">
        <f>LOOKUP(V11,'Semester 1'!$I$24:$I$28,'Semester 1'!$N$24:$N$28)</f>
        <v>C</v>
      </c>
      <c r="X11" s="48" t="str">
        <f t="shared" ref="X11:X19" si="14">IF(U11&gt;=80,"4",IF(U11&gt;=70,"3",IF(U11&gt;=60,"2",IF(U11&gt;=50,"1",IF(U11&lt;50,"0")))))</f>
        <v>2</v>
      </c>
      <c r="Y11" s="48">
        <v>19</v>
      </c>
      <c r="Z11" s="48">
        <v>16</v>
      </c>
      <c r="AA11" s="48">
        <v>35</v>
      </c>
      <c r="AB11" s="48">
        <f t="shared" si="6"/>
        <v>70</v>
      </c>
      <c r="AC11" s="104">
        <f t="shared" si="7"/>
        <v>0.7</v>
      </c>
      <c r="AD11" s="48" t="str">
        <f>LOOKUP(AC11,'Semester 1'!$I$24:$I$28,'Semester 1'!$N$24:$N$28)</f>
        <v>B</v>
      </c>
      <c r="AE11" s="48" t="str">
        <f t="shared" ref="AE11:AE19" si="15">IF(AB11&gt;=80,"4",IF(AB11&gt;=70,"3",IF(AB11&gt;=60,"2",IF(AB11&gt;=50,"1",IF(AB11&lt;50,"0")))))</f>
        <v>3</v>
      </c>
      <c r="AF11" s="48">
        <v>10</v>
      </c>
      <c r="AG11" s="48">
        <v>14</v>
      </c>
      <c r="AH11" s="48">
        <v>45</v>
      </c>
      <c r="AI11" s="48">
        <f t="shared" si="8"/>
        <v>69</v>
      </c>
      <c r="AJ11" s="104">
        <f t="shared" si="9"/>
        <v>0.69</v>
      </c>
      <c r="AK11" s="48" t="str">
        <f>LOOKUP(AJ11,'Semester 1'!$I$24:$I$28,'Semester 1'!$N$24:$N$28)</f>
        <v>C</v>
      </c>
      <c r="AL11" s="48" t="str">
        <f t="shared" ref="AL11:AL19" si="16">IF(AI11&gt;=80,"4",IF(AI11&gt;=70,"3",IF(AI11&gt;=60,"2",IF(AI11&gt;=50,"1",IF(AI11&lt;50,"0")))))</f>
        <v>2</v>
      </c>
      <c r="AM11" s="48">
        <v>17</v>
      </c>
      <c r="AN11" s="48">
        <v>15</v>
      </c>
      <c r="AO11" s="48">
        <v>40</v>
      </c>
      <c r="AP11" s="48">
        <f t="shared" si="10"/>
        <v>72</v>
      </c>
      <c r="AQ11" s="104">
        <f t="shared" si="11"/>
        <v>0.72</v>
      </c>
      <c r="AR11" s="48" t="str">
        <f>LOOKUP(AQ11,'Semester 1'!$I$24:$I$28,'Semester 1'!$N$24:$N$28)</f>
        <v>B</v>
      </c>
      <c r="AS11" s="48" t="str">
        <f t="shared" ref="AS11:AS19" si="17">IF(AP11&gt;=80,"4",IF(AP11&gt;=70,"3",IF(AP11&gt;=60,"2",IF(AP11&gt;=50,"1",IF(AP11&lt;50,"0")))))</f>
        <v>3</v>
      </c>
      <c r="AT11" s="48">
        <f t="shared" ref="AT11:AT19" si="18">J11*$H$24+Q11*$H$25+X11*$H$26+AE11*$H$27+AL11*$H$28+AS11*$H$29</f>
        <v>42</v>
      </c>
      <c r="AU11" s="48">
        <f t="shared" ref="AU11:AU19" si="19">AT11/$H$30</f>
        <v>2.3333333333333335</v>
      </c>
      <c r="AV11" s="98">
        <f>AVERAGE(AU11,'Semester 1'!AN11,'Semester 2'!AN11,'Semester 3'!AN11,'Semester 4'!AU11)</f>
        <v>2.577142857142857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7</v>
      </c>
      <c r="E12" s="48">
        <v>13</v>
      </c>
      <c r="F12" s="48">
        <v>43</v>
      </c>
      <c r="G12" s="48">
        <f t="shared" si="0"/>
        <v>63</v>
      </c>
      <c r="H12" s="104">
        <f t="shared" si="1"/>
        <v>0.63</v>
      </c>
      <c r="I12" s="48" t="str">
        <f>LOOKUP(H12,'Semester 1'!$I$24:$I$28,'Semester 1'!$N$24:$N$28)</f>
        <v>C</v>
      </c>
      <c r="J12" s="48" t="str">
        <f t="shared" si="12"/>
        <v>2</v>
      </c>
      <c r="K12" s="48">
        <v>19</v>
      </c>
      <c r="L12" s="48">
        <v>16</v>
      </c>
      <c r="M12" s="48">
        <v>36</v>
      </c>
      <c r="N12" s="48">
        <f t="shared" si="2"/>
        <v>71</v>
      </c>
      <c r="O12" s="104">
        <f t="shared" si="3"/>
        <v>0.71</v>
      </c>
      <c r="P12" s="48" t="str">
        <f>LOOKUP(O12,'Semester 1'!$I$24:$I$28,'Semester 1'!$N$24:$N$28)</f>
        <v>B</v>
      </c>
      <c r="Q12" s="48" t="str">
        <f t="shared" si="13"/>
        <v>3</v>
      </c>
      <c r="R12" s="48">
        <v>10</v>
      </c>
      <c r="S12" s="48">
        <v>14</v>
      </c>
      <c r="T12" s="48">
        <v>30</v>
      </c>
      <c r="U12" s="48">
        <f t="shared" si="4"/>
        <v>54</v>
      </c>
      <c r="V12" s="104">
        <f t="shared" si="5"/>
        <v>0.54</v>
      </c>
      <c r="W12" s="48" t="str">
        <f>LOOKUP(V12,'Semester 1'!$I$24:$I$28,'Semester 1'!$N$24:$N$28)</f>
        <v>D</v>
      </c>
      <c r="X12" s="48" t="str">
        <f t="shared" si="14"/>
        <v>1</v>
      </c>
      <c r="Y12" s="48">
        <v>17</v>
      </c>
      <c r="Z12" s="48">
        <v>16</v>
      </c>
      <c r="AA12" s="48">
        <v>45</v>
      </c>
      <c r="AB12" s="48">
        <f t="shared" si="6"/>
        <v>78</v>
      </c>
      <c r="AC12" s="104">
        <f t="shared" si="7"/>
        <v>0.78</v>
      </c>
      <c r="AD12" s="48" t="str">
        <f>LOOKUP(AC12,'Semester 1'!$I$24:$I$28,'Semester 1'!$N$24:$N$28)</f>
        <v>B</v>
      </c>
      <c r="AE12" s="48" t="str">
        <f t="shared" si="15"/>
        <v>3</v>
      </c>
      <c r="AF12" s="48">
        <v>13</v>
      </c>
      <c r="AG12" s="48">
        <v>15</v>
      </c>
      <c r="AH12" s="48">
        <v>37</v>
      </c>
      <c r="AI12" s="48">
        <f t="shared" si="8"/>
        <v>65</v>
      </c>
      <c r="AJ12" s="104">
        <f t="shared" si="9"/>
        <v>0.65</v>
      </c>
      <c r="AK12" s="48" t="str">
        <f>LOOKUP(AJ12,'Semester 1'!$I$24:$I$28,'Semester 1'!$N$24:$N$28)</f>
        <v>C</v>
      </c>
      <c r="AL12" s="48" t="str">
        <f t="shared" si="16"/>
        <v>2</v>
      </c>
      <c r="AM12" s="48">
        <v>7</v>
      </c>
      <c r="AN12" s="48">
        <v>14</v>
      </c>
      <c r="AO12" s="48">
        <v>35</v>
      </c>
      <c r="AP12" s="48">
        <f t="shared" si="10"/>
        <v>56</v>
      </c>
      <c r="AQ12" s="104">
        <f t="shared" si="11"/>
        <v>0.56000000000000005</v>
      </c>
      <c r="AR12" s="48" t="str">
        <f>LOOKUP(AQ12,'Semester 1'!$I$24:$I$28,'Semester 1'!$N$24:$N$28)</f>
        <v>D</v>
      </c>
      <c r="AS12" s="48" t="str">
        <f t="shared" si="17"/>
        <v>1</v>
      </c>
      <c r="AT12" s="48">
        <f t="shared" si="18"/>
        <v>36</v>
      </c>
      <c r="AU12" s="48">
        <f t="shared" si="19"/>
        <v>2</v>
      </c>
      <c r="AV12" s="98">
        <f>AVERAGE(AU12,'Semester 1'!AN12,'Semester 2'!AN12,'Semester 3'!AN12,'Semester 4'!AU12)</f>
        <v>2.4771428571428573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17</v>
      </c>
      <c r="E13" s="48">
        <v>18</v>
      </c>
      <c r="F13" s="48">
        <v>42</v>
      </c>
      <c r="G13" s="48">
        <f t="shared" si="0"/>
        <v>77</v>
      </c>
      <c r="H13" s="104">
        <f t="shared" si="1"/>
        <v>0.77</v>
      </c>
      <c r="I13" s="48" t="str">
        <f>LOOKUP(H13,'Semester 1'!$I$24:$I$28,'Semester 1'!$N$24:$N$28)</f>
        <v>B</v>
      </c>
      <c r="J13" s="48" t="str">
        <f t="shared" si="12"/>
        <v>3</v>
      </c>
      <c r="K13" s="48">
        <v>17</v>
      </c>
      <c r="L13" s="48">
        <v>16</v>
      </c>
      <c r="M13" s="48">
        <v>38</v>
      </c>
      <c r="N13" s="48">
        <f t="shared" si="2"/>
        <v>71</v>
      </c>
      <c r="O13" s="104">
        <f t="shared" si="3"/>
        <v>0.71</v>
      </c>
      <c r="P13" s="48" t="str">
        <f>LOOKUP(O13,'Semester 1'!$I$24:$I$28,'Semester 1'!$N$24:$N$28)</f>
        <v>B</v>
      </c>
      <c r="Q13" s="48" t="str">
        <f t="shared" si="13"/>
        <v>3</v>
      </c>
      <c r="R13" s="48">
        <v>22</v>
      </c>
      <c r="S13" s="48">
        <v>13</v>
      </c>
      <c r="T13" s="48">
        <v>32</v>
      </c>
      <c r="U13" s="48">
        <f t="shared" si="4"/>
        <v>67</v>
      </c>
      <c r="V13" s="104">
        <f t="shared" si="5"/>
        <v>0.67</v>
      </c>
      <c r="W13" s="48" t="str">
        <f>LOOKUP(V13,'Semester 1'!$I$24:$I$28,'Semester 1'!$N$24:$N$28)</f>
        <v>C</v>
      </c>
      <c r="X13" s="48" t="str">
        <f t="shared" si="14"/>
        <v>2</v>
      </c>
      <c r="Y13" s="48">
        <v>17</v>
      </c>
      <c r="Z13" s="48">
        <v>10</v>
      </c>
      <c r="AA13" s="48">
        <v>45</v>
      </c>
      <c r="AB13" s="48">
        <f t="shared" si="6"/>
        <v>72</v>
      </c>
      <c r="AC13" s="104">
        <f t="shared" si="7"/>
        <v>0.72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19</v>
      </c>
      <c r="AG13" s="48">
        <v>22</v>
      </c>
      <c r="AH13" s="48">
        <v>45</v>
      </c>
      <c r="AI13" s="48">
        <f t="shared" si="8"/>
        <v>86</v>
      </c>
      <c r="AJ13" s="104">
        <f t="shared" si="9"/>
        <v>0.86</v>
      </c>
      <c r="AK13" s="48" t="str">
        <f>LOOKUP(AJ13,'Semester 1'!$I$24:$I$28,'Semester 1'!$N$24:$N$28)</f>
        <v>A</v>
      </c>
      <c r="AL13" s="48" t="str">
        <f t="shared" si="16"/>
        <v>4</v>
      </c>
      <c r="AM13" s="48">
        <v>21</v>
      </c>
      <c r="AN13" s="48">
        <v>20</v>
      </c>
      <c r="AO13" s="48">
        <v>33</v>
      </c>
      <c r="AP13" s="48">
        <f t="shared" si="10"/>
        <v>74</v>
      </c>
      <c r="AQ13" s="104">
        <f t="shared" si="11"/>
        <v>0.74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54</v>
      </c>
      <c r="AU13" s="48">
        <f t="shared" si="19"/>
        <v>3</v>
      </c>
      <c r="AV13" s="98">
        <f>AVERAGE(AU13,'Semester 1'!AN13,'Semester 2'!AN13,'Semester 3'!AN13,'Semester 4'!AU13)</f>
        <v>2.753333333333333</v>
      </c>
      <c r="AW13" s="48" t="str">
        <f t="shared" si="20"/>
        <v>Third</v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12</v>
      </c>
      <c r="F14" s="48">
        <v>34</v>
      </c>
      <c r="G14" s="48">
        <f t="shared" si="0"/>
        <v>59</v>
      </c>
      <c r="H14" s="104">
        <f t="shared" si="1"/>
        <v>0.59</v>
      </c>
      <c r="I14" s="48" t="str">
        <f>LOOKUP(H14,'Semester 1'!$I$24:$I$28,'Semester 1'!$N$24:$N$28)</f>
        <v>D</v>
      </c>
      <c r="J14" s="48" t="str">
        <f t="shared" si="12"/>
        <v>1</v>
      </c>
      <c r="K14" s="48">
        <v>15</v>
      </c>
      <c r="L14" s="48">
        <v>16</v>
      </c>
      <c r="M14" s="48">
        <v>43</v>
      </c>
      <c r="N14" s="48">
        <f t="shared" si="2"/>
        <v>74</v>
      </c>
      <c r="O14" s="104">
        <f t="shared" si="3"/>
        <v>0.74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18</v>
      </c>
      <c r="S14" s="48">
        <v>14</v>
      </c>
      <c r="T14" s="48">
        <v>40</v>
      </c>
      <c r="U14" s="48">
        <f t="shared" si="4"/>
        <v>72</v>
      </c>
      <c r="V14" s="104">
        <f t="shared" si="5"/>
        <v>0.72</v>
      </c>
      <c r="W14" s="48" t="str">
        <f>LOOKUP(V14,'Semester 1'!$I$24:$I$28,'Semester 1'!$N$24:$N$28)</f>
        <v>B</v>
      </c>
      <c r="X14" s="48" t="str">
        <f t="shared" si="14"/>
        <v>3</v>
      </c>
      <c r="Y14" s="48">
        <v>7</v>
      </c>
      <c r="Z14" s="48">
        <v>17</v>
      </c>
      <c r="AA14" s="48">
        <v>41</v>
      </c>
      <c r="AB14" s="48">
        <f t="shared" si="6"/>
        <v>65</v>
      </c>
      <c r="AC14" s="104">
        <f t="shared" si="7"/>
        <v>0.65</v>
      </c>
      <c r="AD14" s="48" t="str">
        <f>LOOKUP(AC14,'Semester 1'!$I$24:$I$28,'Semester 1'!$N$24:$N$28)</f>
        <v>C</v>
      </c>
      <c r="AE14" s="48" t="str">
        <f t="shared" si="15"/>
        <v>2</v>
      </c>
      <c r="AF14" s="48">
        <v>21</v>
      </c>
      <c r="AG14" s="48">
        <v>7</v>
      </c>
      <c r="AH14" s="48">
        <v>44</v>
      </c>
      <c r="AI14" s="48">
        <f t="shared" si="8"/>
        <v>72</v>
      </c>
      <c r="AJ14" s="104">
        <f t="shared" si="9"/>
        <v>0.72</v>
      </c>
      <c r="AK14" s="48" t="str">
        <f>LOOKUP(AJ14,'Semester 1'!$I$24:$I$28,'Semester 1'!$N$24:$N$28)</f>
        <v>B</v>
      </c>
      <c r="AL14" s="48" t="str">
        <f t="shared" si="16"/>
        <v>3</v>
      </c>
      <c r="AM14" s="48">
        <v>19</v>
      </c>
      <c r="AN14" s="48">
        <v>7</v>
      </c>
      <c r="AO14" s="48">
        <v>41</v>
      </c>
      <c r="AP14" s="48">
        <f t="shared" si="10"/>
        <v>67</v>
      </c>
      <c r="AQ14" s="104">
        <f t="shared" si="11"/>
        <v>0.67</v>
      </c>
      <c r="AR14" s="48" t="str">
        <f>LOOKUP(AQ14,'Semester 1'!$I$24:$I$28,'Semester 1'!$N$24:$N$28)</f>
        <v>C</v>
      </c>
      <c r="AS14" s="48" t="str">
        <f t="shared" si="17"/>
        <v>2</v>
      </c>
      <c r="AT14" s="48">
        <f t="shared" si="18"/>
        <v>42</v>
      </c>
      <c r="AU14" s="48">
        <f t="shared" si="19"/>
        <v>2.3333333333333335</v>
      </c>
      <c r="AV14" s="98">
        <f>AVERAGE(AU14,'Semester 1'!AN14,'Semester 2'!AN14,'Semester 3'!AN14,'Semester 4'!AU14)</f>
        <v>2.4866666666666668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11</v>
      </c>
      <c r="E15" s="48">
        <v>9</v>
      </c>
      <c r="F15" s="48">
        <v>38</v>
      </c>
      <c r="G15" s="48">
        <f t="shared" si="0"/>
        <v>58</v>
      </c>
      <c r="H15" s="104">
        <f t="shared" si="1"/>
        <v>0.57999999999999996</v>
      </c>
      <c r="I15" s="48" t="str">
        <f>LOOKUP(H15,'Semester 1'!$I$24:$I$28,'Semester 1'!$N$24:$N$28)</f>
        <v>D</v>
      </c>
      <c r="J15" s="48" t="str">
        <f t="shared" si="12"/>
        <v>1</v>
      </c>
      <c r="K15" s="48">
        <v>19</v>
      </c>
      <c r="L15" s="48">
        <v>23</v>
      </c>
      <c r="M15" s="48">
        <v>32</v>
      </c>
      <c r="N15" s="48">
        <f t="shared" si="2"/>
        <v>74</v>
      </c>
      <c r="O15" s="104">
        <f t="shared" si="3"/>
        <v>0.74</v>
      </c>
      <c r="P15" s="48" t="str">
        <f>LOOKUP(O15,'Semester 1'!$I$24:$I$28,'Semester 1'!$N$24:$N$28)</f>
        <v>B</v>
      </c>
      <c r="Q15" s="48" t="str">
        <f t="shared" si="13"/>
        <v>3</v>
      </c>
      <c r="R15" s="48">
        <v>8</v>
      </c>
      <c r="S15" s="48">
        <v>7</v>
      </c>
      <c r="T15" s="48">
        <v>34</v>
      </c>
      <c r="U15" s="48">
        <f t="shared" si="4"/>
        <v>49</v>
      </c>
      <c r="V15" s="104">
        <f t="shared" si="5"/>
        <v>0.49</v>
      </c>
      <c r="W15" s="48" t="str">
        <f>LOOKUP(V15,'Semester 1'!$I$24:$I$28,'Semester 1'!$N$24:$N$28)</f>
        <v>F</v>
      </c>
      <c r="X15" s="48" t="str">
        <f t="shared" si="14"/>
        <v>0</v>
      </c>
      <c r="Y15" s="48">
        <v>17</v>
      </c>
      <c r="Z15" s="48">
        <v>8</v>
      </c>
      <c r="AA15" s="48">
        <v>42</v>
      </c>
      <c r="AB15" s="48">
        <f t="shared" si="6"/>
        <v>67</v>
      </c>
      <c r="AC15" s="104">
        <f t="shared" si="7"/>
        <v>0.67</v>
      </c>
      <c r="AD15" s="48" t="str">
        <f>LOOKUP(AC15,'Semester 1'!$I$24:$I$28,'Semester 1'!$N$24:$N$28)</f>
        <v>C</v>
      </c>
      <c r="AE15" s="48" t="str">
        <f t="shared" si="15"/>
        <v>2</v>
      </c>
      <c r="AF15" s="48">
        <v>16</v>
      </c>
      <c r="AG15" s="48">
        <v>19</v>
      </c>
      <c r="AH15" s="48">
        <v>32</v>
      </c>
      <c r="AI15" s="48">
        <f t="shared" si="8"/>
        <v>67</v>
      </c>
      <c r="AJ15" s="104">
        <f t="shared" si="9"/>
        <v>0.67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20</v>
      </c>
      <c r="AN15" s="48">
        <v>15</v>
      </c>
      <c r="AO15" s="48">
        <v>36</v>
      </c>
      <c r="AP15" s="48">
        <f t="shared" si="10"/>
        <v>71</v>
      </c>
      <c r="AQ15" s="104">
        <f t="shared" si="11"/>
        <v>0.71</v>
      </c>
      <c r="AR15" s="48" t="str">
        <f>LOOKUP(AQ15,'Semester 1'!$I$24:$I$28,'Semester 1'!$N$24:$N$28)</f>
        <v>B</v>
      </c>
      <c r="AS15" s="48" t="str">
        <f t="shared" si="17"/>
        <v>3</v>
      </c>
      <c r="AT15" s="48">
        <f t="shared" si="18"/>
        <v>33</v>
      </c>
      <c r="AU15" s="48">
        <f t="shared" si="19"/>
        <v>1.8333333333333333</v>
      </c>
      <c r="AV15" s="98">
        <f>AVERAGE(AU15,'Semester 1'!AN15,'Semester 2'!AN15,'Semester 3'!AN15,'Semester 4'!AU15)</f>
        <v>2.1847619047619049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22</v>
      </c>
      <c r="E16" s="48">
        <v>8</v>
      </c>
      <c r="F16" s="48">
        <v>31</v>
      </c>
      <c r="G16" s="48">
        <f t="shared" si="0"/>
        <v>61</v>
      </c>
      <c r="H16" s="104">
        <f t="shared" si="1"/>
        <v>0.61</v>
      </c>
      <c r="I16" s="48" t="str">
        <f>LOOKUP(H16,'Semester 1'!$I$24:$I$28,'Semester 1'!$N$24:$N$28)</f>
        <v>C</v>
      </c>
      <c r="J16" s="48" t="str">
        <f t="shared" si="12"/>
        <v>2</v>
      </c>
      <c r="K16" s="48">
        <v>14</v>
      </c>
      <c r="L16" s="48">
        <v>22</v>
      </c>
      <c r="M16" s="48">
        <v>43</v>
      </c>
      <c r="N16" s="48">
        <f t="shared" si="2"/>
        <v>79</v>
      </c>
      <c r="O16" s="104">
        <f t="shared" si="3"/>
        <v>0.79</v>
      </c>
      <c r="P16" s="48" t="str">
        <f>LOOKUP(O16,'Semester 1'!$I$24:$I$28,'Semester 1'!$N$24:$N$28)</f>
        <v>B</v>
      </c>
      <c r="Q16" s="48" t="str">
        <f t="shared" si="13"/>
        <v>3</v>
      </c>
      <c r="R16" s="48">
        <v>20</v>
      </c>
      <c r="S16" s="48">
        <v>16</v>
      </c>
      <c r="T16" s="48">
        <v>38</v>
      </c>
      <c r="U16" s="48">
        <f t="shared" si="4"/>
        <v>74</v>
      </c>
      <c r="V16" s="104">
        <f t="shared" si="5"/>
        <v>0.74</v>
      </c>
      <c r="W16" s="48" t="str">
        <f>LOOKUP(V16,'Semester 1'!$I$24:$I$28,'Semester 1'!$N$24:$N$28)</f>
        <v>B</v>
      </c>
      <c r="X16" s="48" t="str">
        <f t="shared" si="14"/>
        <v>3</v>
      </c>
      <c r="Y16" s="48">
        <v>15</v>
      </c>
      <c r="Z16" s="48">
        <v>17</v>
      </c>
      <c r="AA16" s="48">
        <v>40</v>
      </c>
      <c r="AB16" s="48">
        <f t="shared" si="6"/>
        <v>72</v>
      </c>
      <c r="AC16" s="104">
        <f t="shared" si="7"/>
        <v>0.72</v>
      </c>
      <c r="AD16" s="48" t="str">
        <f>LOOKUP(AC16,'Semester 1'!$I$24:$I$28,'Semester 1'!$N$24:$N$28)</f>
        <v>B</v>
      </c>
      <c r="AE16" s="48" t="str">
        <f t="shared" si="15"/>
        <v>3</v>
      </c>
      <c r="AF16" s="48">
        <v>15</v>
      </c>
      <c r="AG16" s="48">
        <v>13</v>
      </c>
      <c r="AH16" s="48">
        <v>39</v>
      </c>
      <c r="AI16" s="48">
        <f t="shared" si="8"/>
        <v>67</v>
      </c>
      <c r="AJ16" s="104">
        <f t="shared" si="9"/>
        <v>0.67</v>
      </c>
      <c r="AK16" s="48" t="str">
        <f>LOOKUP(AJ16,'Semester 1'!$I$24:$I$28,'Semester 1'!$N$24:$N$28)</f>
        <v>C</v>
      </c>
      <c r="AL16" s="48" t="str">
        <f t="shared" si="16"/>
        <v>2</v>
      </c>
      <c r="AM16" s="48">
        <v>18</v>
      </c>
      <c r="AN16" s="48">
        <v>13</v>
      </c>
      <c r="AO16" s="48">
        <v>43</v>
      </c>
      <c r="AP16" s="48">
        <f t="shared" si="10"/>
        <v>74</v>
      </c>
      <c r="AQ16" s="104">
        <f t="shared" si="11"/>
        <v>0.74</v>
      </c>
      <c r="AR16" s="48" t="str">
        <f>LOOKUP(AQ16,'Semester 1'!$I$24:$I$28,'Semester 1'!$N$24:$N$28)</f>
        <v>B</v>
      </c>
      <c r="AS16" s="48" t="str">
        <f t="shared" si="17"/>
        <v>3</v>
      </c>
      <c r="AT16" s="48">
        <f t="shared" si="18"/>
        <v>48</v>
      </c>
      <c r="AU16" s="48">
        <f t="shared" si="19"/>
        <v>2.6666666666666665</v>
      </c>
      <c r="AV16" s="98">
        <f>AVERAGE(AU16,'Semester 1'!AN16,'Semester 2'!AN16,'Semester 3'!AN16,'Semester 4'!AU16)</f>
        <v>2.2104761904761903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21</v>
      </c>
      <c r="E17" s="48">
        <v>16</v>
      </c>
      <c r="F17" s="48">
        <v>34</v>
      </c>
      <c r="G17" s="48">
        <f t="shared" si="0"/>
        <v>71</v>
      </c>
      <c r="H17" s="104">
        <f t="shared" si="1"/>
        <v>0.71</v>
      </c>
      <c r="I17" s="48" t="str">
        <f>LOOKUP(H17,'Semester 1'!$I$24:$I$28,'Semester 1'!$N$24:$N$28)</f>
        <v>B</v>
      </c>
      <c r="J17" s="48" t="str">
        <f t="shared" si="12"/>
        <v>3</v>
      </c>
      <c r="K17" s="48">
        <v>21</v>
      </c>
      <c r="L17" s="48">
        <v>20</v>
      </c>
      <c r="M17" s="48">
        <v>42</v>
      </c>
      <c r="N17" s="48">
        <f t="shared" si="2"/>
        <v>83</v>
      </c>
      <c r="O17" s="104">
        <f t="shared" si="3"/>
        <v>0.83</v>
      </c>
      <c r="P17" s="48" t="str">
        <f>LOOKUP(O17,'Semester 1'!$I$24:$I$28,'Semester 1'!$N$24:$N$28)</f>
        <v>A</v>
      </c>
      <c r="Q17" s="48" t="str">
        <f t="shared" si="13"/>
        <v>4</v>
      </c>
      <c r="R17" s="48">
        <v>7</v>
      </c>
      <c r="S17" s="48">
        <v>21</v>
      </c>
      <c r="T17" s="48">
        <v>42</v>
      </c>
      <c r="U17" s="48">
        <f t="shared" si="4"/>
        <v>70</v>
      </c>
      <c r="V17" s="104">
        <f t="shared" si="5"/>
        <v>0.7</v>
      </c>
      <c r="W17" s="48" t="str">
        <f>LOOKUP(V17,'Semester 1'!$I$24:$I$28,'Semester 1'!$N$24:$N$28)</f>
        <v>B</v>
      </c>
      <c r="X17" s="48" t="str">
        <f t="shared" si="14"/>
        <v>3</v>
      </c>
      <c r="Y17" s="48">
        <v>18</v>
      </c>
      <c r="Z17" s="48">
        <v>16</v>
      </c>
      <c r="AA17" s="48">
        <v>43</v>
      </c>
      <c r="AB17" s="48">
        <f t="shared" si="6"/>
        <v>77</v>
      </c>
      <c r="AC17" s="104">
        <f t="shared" si="7"/>
        <v>0.77</v>
      </c>
      <c r="AD17" s="48" t="str">
        <f>LOOKUP(AC17,'Semester 1'!$I$24:$I$28,'Semester 1'!$N$24:$N$28)</f>
        <v>B</v>
      </c>
      <c r="AE17" s="48" t="str">
        <f t="shared" si="15"/>
        <v>3</v>
      </c>
      <c r="AF17" s="48">
        <v>15</v>
      </c>
      <c r="AG17" s="48">
        <v>7</v>
      </c>
      <c r="AH17" s="48">
        <v>43</v>
      </c>
      <c r="AI17" s="48">
        <f t="shared" si="8"/>
        <v>65</v>
      </c>
      <c r="AJ17" s="104">
        <f t="shared" si="9"/>
        <v>0.65</v>
      </c>
      <c r="AK17" s="48" t="str">
        <f>LOOKUP(AJ17,'Semester 1'!$I$24:$I$28,'Semester 1'!$N$24:$N$28)</f>
        <v>C</v>
      </c>
      <c r="AL17" s="48" t="str">
        <f t="shared" si="16"/>
        <v>2</v>
      </c>
      <c r="AM17" s="48">
        <v>17</v>
      </c>
      <c r="AN17" s="48">
        <v>14</v>
      </c>
      <c r="AO17" s="48">
        <v>35</v>
      </c>
      <c r="AP17" s="48">
        <f t="shared" si="10"/>
        <v>66</v>
      </c>
      <c r="AQ17" s="104">
        <f t="shared" si="11"/>
        <v>0.66</v>
      </c>
      <c r="AR17" s="48" t="str">
        <f>LOOKUP(AQ17,'Semester 1'!$I$24:$I$28,'Semester 1'!$N$24:$N$28)</f>
        <v>C</v>
      </c>
      <c r="AS17" s="48" t="str">
        <f t="shared" si="17"/>
        <v>2</v>
      </c>
      <c r="AT17" s="48">
        <f t="shared" si="18"/>
        <v>51</v>
      </c>
      <c r="AU17" s="48">
        <f t="shared" si="19"/>
        <v>2.8333333333333335</v>
      </c>
      <c r="AV17" s="98">
        <f>AVERAGE(AU17,'Semester 1'!AN17,'Semester 2'!AN17,'Semester 3'!AN17,'Semester 4'!AU17)</f>
        <v>2.3028571428571429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11</v>
      </c>
      <c r="E18" s="48">
        <v>10</v>
      </c>
      <c r="F18" s="48">
        <v>31</v>
      </c>
      <c r="G18" s="48">
        <f t="shared" si="0"/>
        <v>52</v>
      </c>
      <c r="H18" s="104">
        <f t="shared" si="1"/>
        <v>0.52</v>
      </c>
      <c r="I18" s="48" t="str">
        <f>LOOKUP(H18,'Semester 1'!$I$24:$I$28,'Semester 1'!$N$24:$N$28)</f>
        <v>D</v>
      </c>
      <c r="J18" s="48" t="str">
        <f t="shared" si="12"/>
        <v>1</v>
      </c>
      <c r="K18" s="48">
        <v>21</v>
      </c>
      <c r="L18" s="48">
        <v>22</v>
      </c>
      <c r="M18" s="48">
        <v>34</v>
      </c>
      <c r="N18" s="48">
        <f t="shared" si="2"/>
        <v>77</v>
      </c>
      <c r="O18" s="104">
        <f t="shared" si="3"/>
        <v>0.77</v>
      </c>
      <c r="P18" s="48" t="str">
        <f>LOOKUP(O18,'Semester 1'!$I$24:$I$28,'Semester 1'!$N$24:$N$28)</f>
        <v>B</v>
      </c>
      <c r="Q18" s="48" t="str">
        <f t="shared" si="13"/>
        <v>3</v>
      </c>
      <c r="R18" s="48">
        <v>12</v>
      </c>
      <c r="S18" s="48">
        <v>15</v>
      </c>
      <c r="T18" s="48">
        <v>34</v>
      </c>
      <c r="U18" s="48">
        <f t="shared" si="4"/>
        <v>61</v>
      </c>
      <c r="V18" s="104">
        <f t="shared" si="5"/>
        <v>0.61</v>
      </c>
      <c r="W18" s="48" t="str">
        <f>LOOKUP(V18,'Semester 1'!$I$24:$I$28,'Semester 1'!$N$24:$N$28)</f>
        <v>C</v>
      </c>
      <c r="X18" s="48" t="str">
        <f t="shared" si="14"/>
        <v>2</v>
      </c>
      <c r="Y18" s="48">
        <v>22</v>
      </c>
      <c r="Z18" s="48">
        <v>22</v>
      </c>
      <c r="AA18" s="48">
        <v>40</v>
      </c>
      <c r="AB18" s="48">
        <f t="shared" si="6"/>
        <v>84</v>
      </c>
      <c r="AC18" s="104">
        <f t="shared" si="7"/>
        <v>0.84</v>
      </c>
      <c r="AD18" s="48" t="str">
        <f>LOOKUP(AC18,'Semester 1'!$I$24:$I$28,'Semester 1'!$N$24:$N$28)</f>
        <v>A</v>
      </c>
      <c r="AE18" s="48" t="str">
        <f t="shared" si="15"/>
        <v>4</v>
      </c>
      <c r="AF18" s="48">
        <v>14</v>
      </c>
      <c r="AG18" s="48">
        <v>20</v>
      </c>
      <c r="AH18" s="48">
        <v>30</v>
      </c>
      <c r="AI18" s="48">
        <f t="shared" si="8"/>
        <v>64</v>
      </c>
      <c r="AJ18" s="104">
        <f t="shared" si="9"/>
        <v>0.64</v>
      </c>
      <c r="AK18" s="48" t="str">
        <f>LOOKUP(AJ18,'Semester 1'!$I$24:$I$28,'Semester 1'!$N$24:$N$28)</f>
        <v>C</v>
      </c>
      <c r="AL18" s="48" t="str">
        <f t="shared" si="16"/>
        <v>2</v>
      </c>
      <c r="AM18" s="48">
        <v>18</v>
      </c>
      <c r="AN18" s="48">
        <v>11</v>
      </c>
      <c r="AO18" s="48">
        <v>31</v>
      </c>
      <c r="AP18" s="48">
        <f t="shared" si="10"/>
        <v>60</v>
      </c>
      <c r="AQ18" s="104">
        <f t="shared" si="11"/>
        <v>0.6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42</v>
      </c>
      <c r="AU18" s="48">
        <f t="shared" si="19"/>
        <v>2.3333333333333335</v>
      </c>
      <c r="AV18" s="98">
        <f>AVERAGE(AU18,'Semester 1'!AN18,'Semester 2'!AN18,'Semester 3'!AN18,'Semester 4'!AU18)</f>
        <v>2.3885714285714283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17</v>
      </c>
      <c r="E19" s="89">
        <v>22</v>
      </c>
      <c r="F19" s="89">
        <v>42</v>
      </c>
      <c r="G19" s="89">
        <f t="shared" si="0"/>
        <v>81</v>
      </c>
      <c r="H19" s="105">
        <f t="shared" si="1"/>
        <v>0.81</v>
      </c>
      <c r="I19" s="89" t="str">
        <f>LOOKUP(H19,'Semester 1'!$I$24:$I$28,'Semester 1'!$N$24:$N$28)</f>
        <v>A</v>
      </c>
      <c r="J19" s="89" t="str">
        <f t="shared" si="12"/>
        <v>4</v>
      </c>
      <c r="K19" s="89">
        <v>13</v>
      </c>
      <c r="L19" s="89">
        <v>23</v>
      </c>
      <c r="M19" s="89">
        <v>44</v>
      </c>
      <c r="N19" s="89">
        <f t="shared" si="2"/>
        <v>80</v>
      </c>
      <c r="O19" s="105">
        <f t="shared" si="3"/>
        <v>0.8</v>
      </c>
      <c r="P19" s="89" t="str">
        <f>LOOKUP(O19,'Semester 1'!$I$24:$I$28,'Semester 1'!$N$24:$N$28)</f>
        <v>A</v>
      </c>
      <c r="Q19" s="89" t="str">
        <f t="shared" si="13"/>
        <v>4</v>
      </c>
      <c r="R19" s="89">
        <v>22</v>
      </c>
      <c r="S19" s="89">
        <v>20</v>
      </c>
      <c r="T19" s="89">
        <v>44</v>
      </c>
      <c r="U19" s="89">
        <f t="shared" si="4"/>
        <v>86</v>
      </c>
      <c r="V19" s="105">
        <f t="shared" si="5"/>
        <v>0.86</v>
      </c>
      <c r="W19" s="89" t="str">
        <f>LOOKUP(V19,'Semester 1'!$I$24:$I$28,'Semester 1'!$N$24:$N$28)</f>
        <v>A</v>
      </c>
      <c r="X19" s="89" t="str">
        <f t="shared" si="14"/>
        <v>4</v>
      </c>
      <c r="Y19" s="89">
        <v>14</v>
      </c>
      <c r="Z19" s="89">
        <v>20</v>
      </c>
      <c r="AA19" s="89">
        <v>41</v>
      </c>
      <c r="AB19" s="89">
        <f t="shared" si="6"/>
        <v>75</v>
      </c>
      <c r="AC19" s="105">
        <f t="shared" si="7"/>
        <v>0.75</v>
      </c>
      <c r="AD19" s="89" t="str">
        <f>LOOKUP(AC19,'Semester 1'!$I$24:$I$28,'Semester 1'!$N$24:$N$28)</f>
        <v>B</v>
      </c>
      <c r="AE19" s="89" t="str">
        <f t="shared" si="15"/>
        <v>3</v>
      </c>
      <c r="AF19" s="89">
        <v>20</v>
      </c>
      <c r="AG19" s="89">
        <v>14</v>
      </c>
      <c r="AH19" s="89">
        <v>36</v>
      </c>
      <c r="AI19" s="89">
        <f t="shared" si="8"/>
        <v>70</v>
      </c>
      <c r="AJ19" s="105">
        <f t="shared" si="9"/>
        <v>0.7</v>
      </c>
      <c r="AK19" s="89" t="str">
        <f>LOOKUP(AJ19,'Semester 1'!$I$24:$I$28,'Semester 1'!$N$24:$N$28)</f>
        <v>B</v>
      </c>
      <c r="AL19" s="89" t="str">
        <f t="shared" si="16"/>
        <v>3</v>
      </c>
      <c r="AM19" s="89">
        <v>21</v>
      </c>
      <c r="AN19" s="89">
        <v>22</v>
      </c>
      <c r="AO19" s="89">
        <v>35</v>
      </c>
      <c r="AP19" s="89">
        <f t="shared" si="10"/>
        <v>78</v>
      </c>
      <c r="AQ19" s="105">
        <f t="shared" si="11"/>
        <v>0.78</v>
      </c>
      <c r="AR19" s="89" t="str">
        <f>LOOKUP(AQ19,'Semester 1'!$I$24:$I$28,'Semester 1'!$N$24:$N$28)</f>
        <v>B</v>
      </c>
      <c r="AS19" s="89" t="str">
        <f t="shared" si="17"/>
        <v>3</v>
      </c>
      <c r="AT19" s="89">
        <f t="shared" si="18"/>
        <v>63</v>
      </c>
      <c r="AU19" s="89">
        <f t="shared" si="19"/>
        <v>3.5</v>
      </c>
      <c r="AV19" s="99">
        <f>AVERAGE(AU19,'Semester 1'!AN19,'Semester 2'!AN19,'Semester 3'!AN19,'Semester 4'!AU19)</f>
        <v>3.714285714285714</v>
      </c>
      <c r="AW19" s="89" t="str">
        <f t="shared" si="20"/>
        <v>First</v>
      </c>
    </row>
    <row r="22" spans="2:49" ht="15" thickBot="1" x14ac:dyDescent="0.35"/>
    <row r="23" spans="2:49" ht="15.6" x14ac:dyDescent="0.3">
      <c r="F23" s="34" t="s">
        <v>26</v>
      </c>
      <c r="G23" s="35" t="s">
        <v>27</v>
      </c>
      <c r="H23" s="46" t="s">
        <v>46</v>
      </c>
    </row>
    <row r="24" spans="2:49" x14ac:dyDescent="0.3">
      <c r="F24" s="36">
        <v>1</v>
      </c>
      <c r="G24" s="78" t="s">
        <v>86</v>
      </c>
      <c r="H24" s="2">
        <v>3</v>
      </c>
    </row>
    <row r="25" spans="2:49" x14ac:dyDescent="0.3">
      <c r="F25" s="36">
        <v>2</v>
      </c>
      <c r="G25" s="43" t="s">
        <v>57</v>
      </c>
      <c r="H25" s="2">
        <v>3</v>
      </c>
      <c r="I25" s="18"/>
    </row>
    <row r="26" spans="2:49" x14ac:dyDescent="0.3">
      <c r="F26" s="36">
        <v>3</v>
      </c>
      <c r="G26" s="44" t="s">
        <v>53</v>
      </c>
      <c r="H26" s="2">
        <v>3</v>
      </c>
      <c r="I26" s="19"/>
    </row>
    <row r="27" spans="2:49" x14ac:dyDescent="0.3">
      <c r="F27" s="36">
        <v>4</v>
      </c>
      <c r="G27" s="44" t="s">
        <v>54</v>
      </c>
      <c r="H27" s="2">
        <v>3</v>
      </c>
      <c r="I27" s="19"/>
    </row>
    <row r="28" spans="2:49" x14ac:dyDescent="0.3">
      <c r="F28" s="36">
        <v>5</v>
      </c>
      <c r="G28" s="44" t="s">
        <v>55</v>
      </c>
      <c r="H28" s="2">
        <v>3</v>
      </c>
      <c r="I28" s="19"/>
    </row>
    <row r="29" spans="2:49" ht="15" thickBot="1" x14ac:dyDescent="0.35">
      <c r="F29" s="36">
        <v>6</v>
      </c>
      <c r="G29" s="44" t="s">
        <v>56</v>
      </c>
      <c r="H29" s="2">
        <v>3</v>
      </c>
      <c r="I29" s="19"/>
    </row>
    <row r="30" spans="2:49" ht="15" thickBot="1" x14ac:dyDescent="0.35">
      <c r="F30" s="39"/>
      <c r="G30" s="45" t="s">
        <v>32</v>
      </c>
      <c r="H30" s="38">
        <f>SUM(H24:H29)</f>
        <v>18</v>
      </c>
      <c r="I30" s="19"/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9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1272540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1272540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BD29"/>
  <sheetViews>
    <sheetView workbookViewId="0">
      <selection activeCell="AN23" sqref="AN23"/>
    </sheetView>
  </sheetViews>
  <sheetFormatPr defaultColWidth="8.77734375" defaultRowHeight="14.4" x14ac:dyDescent="0.3"/>
  <cols>
    <col min="3" max="3" width="18.77734375" customWidth="1"/>
    <col min="4" max="6" width="7.6640625" bestFit="1" customWidth="1"/>
    <col min="7" max="7" width="38.77734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5.7773437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7773437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7773437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77734375" bestFit="1" customWidth="1"/>
    <col min="36" max="36" width="9.77734375" bestFit="1" customWidth="1"/>
    <col min="37" max="37" width="5.6640625" bestFit="1" customWidth="1"/>
    <col min="38" max="38" width="6.109375" bestFit="1" customWidth="1"/>
    <col min="39" max="41" width="7.6640625" bestFit="1" customWidth="1"/>
    <col min="42" max="42" width="5.7773437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5" bestFit="1" customWidth="1"/>
    <col min="47" max="47" width="8.109375" bestFit="1" customWidth="1"/>
    <col min="48" max="48" width="5.77734375" bestFit="1" customWidth="1"/>
    <col min="49" max="49" width="5.6640625" bestFit="1" customWidth="1"/>
    <col min="50" max="50" width="9.77734375" bestFit="1" customWidth="1"/>
    <col min="51" max="51" width="5.6640625" bestFit="1" customWidth="1"/>
    <col min="52" max="52" width="4.33203125" customWidth="1"/>
    <col min="53" max="53" width="10.109375" bestFit="1" customWidth="1"/>
    <col min="54" max="55" width="5.33203125" bestFit="1" customWidth="1"/>
  </cols>
  <sheetData>
    <row r="1" spans="2:56" ht="15" thickBot="1" x14ac:dyDescent="0.35"/>
    <row r="2" spans="2:56" x14ac:dyDescent="0.3">
      <c r="B2" s="158"/>
      <c r="C2" s="159"/>
    </row>
    <row r="3" spans="2:56" ht="15" thickBot="1" x14ac:dyDescent="0.35">
      <c r="B3" s="160"/>
      <c r="C3" s="161"/>
    </row>
    <row r="4" spans="2:56" x14ac:dyDescent="0.3">
      <c r="B4" s="158"/>
      <c r="C4" s="159"/>
    </row>
    <row r="5" spans="2:56" ht="15" thickBot="1" x14ac:dyDescent="0.35">
      <c r="B5" s="160"/>
      <c r="C5" s="161"/>
    </row>
    <row r="6" spans="2:56" ht="15" thickBot="1" x14ac:dyDescent="0.35"/>
    <row r="7" spans="2:56" ht="15" thickBot="1" x14ac:dyDescent="0.35">
      <c r="B7" s="148" t="s">
        <v>21</v>
      </c>
      <c r="C7" s="149"/>
    </row>
    <row r="8" spans="2:56" ht="15" thickBot="1" x14ac:dyDescent="0.35">
      <c r="B8" s="150"/>
      <c r="C8" s="151"/>
      <c r="D8" s="152" t="s">
        <v>82</v>
      </c>
      <c r="E8" s="153"/>
      <c r="F8" s="153"/>
      <c r="G8" s="153"/>
      <c r="H8" s="153"/>
      <c r="I8" s="153"/>
      <c r="J8" s="154"/>
      <c r="K8" s="152" t="s">
        <v>59</v>
      </c>
      <c r="L8" s="153"/>
      <c r="M8" s="153"/>
      <c r="N8" s="153"/>
      <c r="O8" s="153"/>
      <c r="P8" s="153"/>
      <c r="Q8" s="154"/>
      <c r="R8" s="152" t="s">
        <v>60</v>
      </c>
      <c r="S8" s="153"/>
      <c r="T8" s="153"/>
      <c r="U8" s="153"/>
      <c r="V8" s="153"/>
      <c r="W8" s="153"/>
      <c r="X8" s="154"/>
      <c r="Y8" s="152" t="s">
        <v>89</v>
      </c>
      <c r="Z8" s="153"/>
      <c r="AA8" s="153"/>
      <c r="AB8" s="153"/>
      <c r="AC8" s="153"/>
      <c r="AD8" s="153"/>
      <c r="AE8" s="154"/>
      <c r="AF8" s="152" t="s">
        <v>62</v>
      </c>
      <c r="AG8" s="153"/>
      <c r="AH8" s="153"/>
      <c r="AI8" s="153"/>
      <c r="AJ8" s="153"/>
      <c r="AK8" s="153"/>
      <c r="AL8" s="154"/>
      <c r="AM8" s="152" t="s">
        <v>63</v>
      </c>
      <c r="AN8" s="153"/>
      <c r="AO8" s="153"/>
      <c r="AP8" s="153"/>
      <c r="AQ8" s="153"/>
      <c r="AR8" s="153"/>
      <c r="AS8" s="154"/>
      <c r="AT8" s="152" t="s">
        <v>64</v>
      </c>
      <c r="AU8" s="153"/>
      <c r="AV8" s="153"/>
      <c r="AW8" s="153"/>
      <c r="AX8" s="153"/>
      <c r="AY8" s="153"/>
      <c r="AZ8" s="154"/>
      <c r="BA8" s="47"/>
    </row>
    <row r="9" spans="2:56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2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2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2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2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2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2" t="s">
        <v>16</v>
      </c>
      <c r="AQ9" s="102" t="s">
        <v>1</v>
      </c>
      <c r="AR9" s="102" t="s">
        <v>0</v>
      </c>
      <c r="AS9" s="102" t="s">
        <v>12</v>
      </c>
      <c r="AT9" s="100" t="s">
        <v>9</v>
      </c>
      <c r="AU9" s="100" t="s">
        <v>10</v>
      </c>
      <c r="AV9" s="100" t="s">
        <v>11</v>
      </c>
      <c r="AW9" s="102" t="s">
        <v>16</v>
      </c>
      <c r="AX9" s="102" t="s">
        <v>1</v>
      </c>
      <c r="AY9" s="102" t="s">
        <v>0</v>
      </c>
      <c r="AZ9" s="102" t="s">
        <v>12</v>
      </c>
      <c r="BA9" s="102" t="s">
        <v>15</v>
      </c>
      <c r="BB9" s="102" t="s">
        <v>13</v>
      </c>
      <c r="BC9" s="102" t="s">
        <v>14</v>
      </c>
      <c r="BD9" s="103" t="s">
        <v>105</v>
      </c>
    </row>
    <row r="10" spans="2:56" x14ac:dyDescent="0.3">
      <c r="B10" s="11">
        <f>'Semester 1'!B10</f>
        <v>1</v>
      </c>
      <c r="C10" s="11" t="str">
        <f>'Semester 1'!C10</f>
        <v>Muhammad Ali</v>
      </c>
      <c r="D10" s="48">
        <v>20</v>
      </c>
      <c r="E10" s="48">
        <v>13</v>
      </c>
      <c r="F10" s="48">
        <v>43</v>
      </c>
      <c r="G10" s="48">
        <f t="shared" ref="G10:G19" si="0">SUM(D10:F10)</f>
        <v>76</v>
      </c>
      <c r="H10" s="104">
        <f t="shared" ref="H10:H19" si="1">G10/100</f>
        <v>0.76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22</v>
      </c>
      <c r="L10" s="48">
        <v>18</v>
      </c>
      <c r="M10" s="48">
        <v>41</v>
      </c>
      <c r="N10" s="48">
        <f t="shared" ref="N10:N19" si="2">SUM(K10:M10)</f>
        <v>81</v>
      </c>
      <c r="O10" s="104">
        <f t="shared" ref="O10:O19" si="3">N10/100</f>
        <v>0.81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12</v>
      </c>
      <c r="S10" s="48">
        <v>20</v>
      </c>
      <c r="T10" s="48">
        <v>41</v>
      </c>
      <c r="U10" s="48">
        <f t="shared" ref="U10:U19" si="4">SUM(R10:T10)</f>
        <v>73</v>
      </c>
      <c r="V10" s="104">
        <f t="shared" ref="V10:V19" si="5">U10/100</f>
        <v>0.73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12</v>
      </c>
      <c r="Z10" s="48">
        <v>20</v>
      </c>
      <c r="AA10" s="48">
        <v>37</v>
      </c>
      <c r="AB10" s="48">
        <f t="shared" ref="AB10:AB19" si="6">SUM(Y10:AA10)</f>
        <v>69</v>
      </c>
      <c r="AC10" s="104">
        <f t="shared" ref="AC10:AC19" si="7">AB10/100</f>
        <v>0.69</v>
      </c>
      <c r="AD10" s="48" t="str">
        <f>LOOKUP(AC10,'Semester 1'!$I$24:$I$28,'Semester 1'!$N$24:$N$28)</f>
        <v>C</v>
      </c>
      <c r="AE10" s="48" t="str">
        <f>IF(AB10&gt;=80,"4",IF(AB10&gt;=70,"3",IF(AB10&gt;=60,"2",IF(AB10&gt;=50,"1",IF(AB10&lt;50,"0")))))</f>
        <v>2</v>
      </c>
      <c r="AF10" s="48">
        <v>15</v>
      </c>
      <c r="AG10" s="48">
        <v>13</v>
      </c>
      <c r="AH10" s="48">
        <v>39</v>
      </c>
      <c r="AI10" s="48">
        <f t="shared" ref="AI10:AI19" si="8">SUM(AF10:AH10)</f>
        <v>67</v>
      </c>
      <c r="AJ10" s="104">
        <f t="shared" ref="AJ10:AJ19" si="9">AI10/100</f>
        <v>0.67</v>
      </c>
      <c r="AK10" s="48" t="str">
        <f>LOOKUP(AJ10,'Semester 1'!$I$24:$I$28,'Semester 1'!$N$24:$N$28)</f>
        <v>C</v>
      </c>
      <c r="AL10" s="48" t="str">
        <f>IF(AI10&gt;=80,"4",IF(AI10&gt;=70,"3",IF(AI10&gt;=60,"2",IF(AI10&gt;=50,"1",IF(AI10&lt;50,"0")))))</f>
        <v>2</v>
      </c>
      <c r="AM10" s="48">
        <v>18</v>
      </c>
      <c r="AN10" s="48">
        <v>13</v>
      </c>
      <c r="AO10" s="48">
        <v>38</v>
      </c>
      <c r="AP10" s="48">
        <f t="shared" ref="AP10:AP19" si="10">SUM(AM10:AO10)</f>
        <v>69</v>
      </c>
      <c r="AQ10" s="104">
        <f t="shared" ref="AQ10:AQ19" si="11">AP10/100</f>
        <v>0.69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v>22</v>
      </c>
      <c r="AU10" s="48">
        <v>20</v>
      </c>
      <c r="AV10" s="48">
        <v>44</v>
      </c>
      <c r="AW10" s="48">
        <f t="shared" ref="AW10:AW19" si="12">SUM(AT10:AV10)</f>
        <v>86</v>
      </c>
      <c r="AX10" s="104">
        <f t="shared" ref="AX10:AX19" si="13">AW10/100</f>
        <v>0.86</v>
      </c>
      <c r="AY10" s="48" t="str">
        <f>LOOKUP(AX10,'Semester 1'!$I$24:$I$28,'Semester 1'!$N$24:$N$28)</f>
        <v>A</v>
      </c>
      <c r="AZ10" s="48" t="str">
        <f>IF(AW10&gt;=80,"4",IF(AW10&gt;=70,"3",IF(AW10&gt;=60,"2",IF(AW10&gt;=50,"1",IF(AW10&lt;50,"0")))))</f>
        <v>4</v>
      </c>
      <c r="BA10" s="48">
        <f>J10*$H$22+Q10*$H$23+X10*$H$24+AE10*$H$25+AL10*$H$26+AS10*$H$27+AZ10*$H$28</f>
        <v>52</v>
      </c>
      <c r="BB10" s="48">
        <f>BA10/$H$29</f>
        <v>2.8888888888888888</v>
      </c>
      <c r="BC10" s="48">
        <f>AVERAGE(BB10,'Semester 1'!AN10,'Semester 2'!AN10,'Semester 3'!AN10,'Semester 4'!AU10,'Semester 5'!AU10)</f>
        <v>3.3306878306878307</v>
      </c>
      <c r="BD10" s="48" t="str">
        <f>IF(LARGE($BB$10:$BB$19,1)=BB10,"First",IF(LARGE($BB$10:$BB$19,2)=BB10,"Second",IF(LARGE($BB$10:$BB$19,3)=BB10,"Third","")))</f>
        <v>Third</v>
      </c>
    </row>
    <row r="11" spans="2:56" x14ac:dyDescent="0.3">
      <c r="B11" s="11">
        <f>'Semester 1'!B11</f>
        <v>2</v>
      </c>
      <c r="C11" s="11" t="str">
        <f>'Semester 1'!C11</f>
        <v>Ali Ahmed</v>
      </c>
      <c r="D11" s="48">
        <v>14</v>
      </c>
      <c r="E11" s="48">
        <v>21</v>
      </c>
      <c r="F11" s="48">
        <v>32</v>
      </c>
      <c r="G11" s="48">
        <f t="shared" si="0"/>
        <v>67</v>
      </c>
      <c r="H11" s="104">
        <f t="shared" si="1"/>
        <v>0.67</v>
      </c>
      <c r="I11" s="48" t="str">
        <f>LOOKUP(H11,'Semester 1'!$I$24:$I$28,'Semester 1'!$N$24:$N$28)</f>
        <v>C</v>
      </c>
      <c r="J11" s="48" t="str">
        <f t="shared" ref="J11:J19" si="14">IF(G11&gt;=80,"4",IF(G11&gt;=70,"3",IF(G11&gt;=60,"2",IF(G11&gt;=50,"1",IF(G11&lt;50,"0")))))</f>
        <v>2</v>
      </c>
      <c r="K11" s="48">
        <v>11</v>
      </c>
      <c r="L11" s="48">
        <v>21</v>
      </c>
      <c r="M11" s="48">
        <v>36</v>
      </c>
      <c r="N11" s="48">
        <f t="shared" si="2"/>
        <v>68</v>
      </c>
      <c r="O11" s="104">
        <f t="shared" si="3"/>
        <v>0.68</v>
      </c>
      <c r="P11" s="48" t="str">
        <f>LOOKUP(O11,'Semester 1'!$I$24:$I$28,'Semester 1'!$N$24:$N$28)</f>
        <v>C</v>
      </c>
      <c r="Q11" s="48" t="str">
        <f t="shared" ref="Q11:Q19" si="15">IF(N11&gt;=80,"4",IF(N11&gt;=70,"3",IF(N11&gt;=60,"2",IF(N11&gt;=50,"1",IF(N11&lt;50,"0")))))</f>
        <v>2</v>
      </c>
      <c r="R11" s="48">
        <v>17</v>
      </c>
      <c r="S11" s="48">
        <v>18</v>
      </c>
      <c r="T11" s="48">
        <v>30</v>
      </c>
      <c r="U11" s="48">
        <f t="shared" si="4"/>
        <v>65</v>
      </c>
      <c r="V11" s="104">
        <f t="shared" si="5"/>
        <v>0.65</v>
      </c>
      <c r="W11" s="48" t="str">
        <f>LOOKUP(V11,'Semester 1'!$I$24:$I$28,'Semester 1'!$N$24:$N$28)</f>
        <v>C</v>
      </c>
      <c r="X11" s="48" t="str">
        <f t="shared" ref="X11:X19" si="16">IF(U11&gt;=80,"4",IF(U11&gt;=70,"3",IF(U11&gt;=60,"2",IF(U11&gt;=50,"1",IF(U11&lt;50,"0")))))</f>
        <v>2</v>
      </c>
      <c r="Y11" s="48">
        <v>14</v>
      </c>
      <c r="Z11" s="48">
        <v>22</v>
      </c>
      <c r="AA11" s="48">
        <v>37</v>
      </c>
      <c r="AB11" s="48">
        <f t="shared" si="6"/>
        <v>73</v>
      </c>
      <c r="AC11" s="104">
        <f t="shared" si="7"/>
        <v>0.73</v>
      </c>
      <c r="AD11" s="48" t="str">
        <f>LOOKUP(AC11,'Semester 1'!$I$24:$I$28,'Semester 1'!$N$24:$N$28)</f>
        <v>B</v>
      </c>
      <c r="AE11" s="48" t="str">
        <f t="shared" ref="AE11:AE19" si="17">IF(AB11&gt;=80,"4",IF(AB11&gt;=70,"3",IF(AB11&gt;=60,"2",IF(AB11&gt;=50,"1",IF(AB11&lt;50,"0")))))</f>
        <v>3</v>
      </c>
      <c r="AF11" s="48">
        <v>12</v>
      </c>
      <c r="AG11" s="48">
        <v>21</v>
      </c>
      <c r="AH11" s="48">
        <v>40</v>
      </c>
      <c r="AI11" s="48">
        <f t="shared" si="8"/>
        <v>73</v>
      </c>
      <c r="AJ11" s="104">
        <f t="shared" si="9"/>
        <v>0.73</v>
      </c>
      <c r="AK11" s="48" t="str">
        <f>LOOKUP(AJ11,'Semester 1'!$I$24:$I$28,'Semester 1'!$N$24:$N$28)</f>
        <v>B</v>
      </c>
      <c r="AL11" s="48" t="str">
        <f t="shared" ref="AL11:AL19" si="18">IF(AI11&gt;=80,"4",IF(AI11&gt;=70,"3",IF(AI11&gt;=60,"2",IF(AI11&gt;=50,"1",IF(AI11&lt;50,"0")))))</f>
        <v>3</v>
      </c>
      <c r="AM11" s="48">
        <v>22</v>
      </c>
      <c r="AN11" s="48">
        <v>20</v>
      </c>
      <c r="AO11" s="48">
        <v>33</v>
      </c>
      <c r="AP11" s="48">
        <f t="shared" si="10"/>
        <v>75</v>
      </c>
      <c r="AQ11" s="104">
        <f t="shared" si="11"/>
        <v>0.75</v>
      </c>
      <c r="AR11" s="48" t="str">
        <f>LOOKUP(AQ11,'Semester 1'!$I$24:$I$28,'Semester 1'!$N$24:$N$28)</f>
        <v>B</v>
      </c>
      <c r="AS11" s="48" t="str">
        <f t="shared" ref="AS11:AS19" si="19">IF(AP11&gt;=80,"4",IF(AP11&gt;=70,"3",IF(AP11&gt;=60,"2",IF(AP11&gt;=50,"1",IF(AP11&lt;50,"0")))))</f>
        <v>3</v>
      </c>
      <c r="AT11" s="48">
        <v>11</v>
      </c>
      <c r="AU11" s="48">
        <v>18</v>
      </c>
      <c r="AV11" s="48">
        <v>37</v>
      </c>
      <c r="AW11" s="48">
        <f t="shared" si="12"/>
        <v>66</v>
      </c>
      <c r="AX11" s="104">
        <f t="shared" si="13"/>
        <v>0.66</v>
      </c>
      <c r="AY11" s="48" t="str">
        <f>LOOKUP(AX11,'Semester 1'!$I$24:$I$28,'Semester 1'!$N$24:$N$28)</f>
        <v>C</v>
      </c>
      <c r="AZ11" s="48" t="str">
        <f t="shared" ref="AZ11:AZ19" si="20">IF(AW11&gt;=80,"4",IF(AW11&gt;=70,"3",IF(AW11&gt;=60,"2",IF(AW11&gt;=50,"1",IF(AW11&lt;50,"0")))))</f>
        <v>2</v>
      </c>
      <c r="BA11" s="48">
        <f t="shared" ref="BA11:BA19" si="21">J11*$H$22+Q11*$H$23+X11*$H$24+AE11*$H$25+AL11*$H$26+AS11*$H$27+AZ11*$H$28</f>
        <v>43</v>
      </c>
      <c r="BB11" s="48">
        <f t="shared" ref="BB11:BB19" si="22">BA11/$H$29</f>
        <v>2.3888888888888888</v>
      </c>
      <c r="BC11" s="48">
        <f>AVERAGE(BB11,'Semester 1'!AN11,'Semester 2'!AN11,'Semester 3'!AN11,'Semester 4'!AU11,'Semester 5'!AU11)</f>
        <v>2.5457671957671955</v>
      </c>
      <c r="BD11" s="48" t="str">
        <f t="shared" ref="BD11:BD19" si="23">IF(LARGE($BB$10:$BB$19,1)=BB11,"First",IF(LARGE($BB$10:$BB$19,2)=BB11,"Second",IF(LARGE($BB$10:$BB$19,3)=BB11,"Third","")))</f>
        <v/>
      </c>
    </row>
    <row r="12" spans="2:56" x14ac:dyDescent="0.3">
      <c r="B12" s="11">
        <f>'Semester 1'!B12</f>
        <v>3</v>
      </c>
      <c r="C12" s="11" t="str">
        <f>'Semester 1'!C12</f>
        <v>Usman Khan</v>
      </c>
      <c r="D12" s="48">
        <v>17</v>
      </c>
      <c r="E12" s="48">
        <v>18</v>
      </c>
      <c r="F12" s="48">
        <v>33</v>
      </c>
      <c r="G12" s="48">
        <f t="shared" si="0"/>
        <v>68</v>
      </c>
      <c r="H12" s="104">
        <f t="shared" si="1"/>
        <v>0.68</v>
      </c>
      <c r="I12" s="48" t="str">
        <f>LOOKUP(H12,'Semester 1'!$I$24:$I$28,'Semester 1'!$N$24:$N$28)</f>
        <v>C</v>
      </c>
      <c r="J12" s="48" t="str">
        <f t="shared" si="14"/>
        <v>2</v>
      </c>
      <c r="K12" s="48">
        <v>14</v>
      </c>
      <c r="L12" s="48">
        <v>13</v>
      </c>
      <c r="M12" s="48">
        <v>43</v>
      </c>
      <c r="N12" s="48">
        <f t="shared" si="2"/>
        <v>70</v>
      </c>
      <c r="O12" s="104">
        <f t="shared" si="3"/>
        <v>0.7</v>
      </c>
      <c r="P12" s="48" t="str">
        <f>LOOKUP(O12,'Semester 1'!$I$24:$I$28,'Semester 1'!$N$24:$N$28)</f>
        <v>B</v>
      </c>
      <c r="Q12" s="48" t="str">
        <f t="shared" si="15"/>
        <v>3</v>
      </c>
      <c r="R12" s="48">
        <v>15</v>
      </c>
      <c r="S12" s="48">
        <v>11</v>
      </c>
      <c r="T12" s="48">
        <v>33</v>
      </c>
      <c r="U12" s="48">
        <f t="shared" si="4"/>
        <v>59</v>
      </c>
      <c r="V12" s="104">
        <f t="shared" si="5"/>
        <v>0.59</v>
      </c>
      <c r="W12" s="48" t="str">
        <f>LOOKUP(V12,'Semester 1'!$I$24:$I$28,'Semester 1'!$N$24:$N$28)</f>
        <v>D</v>
      </c>
      <c r="X12" s="48" t="str">
        <f t="shared" si="16"/>
        <v>1</v>
      </c>
      <c r="Y12" s="48">
        <v>22</v>
      </c>
      <c r="Z12" s="48">
        <v>17</v>
      </c>
      <c r="AA12" s="48">
        <v>36</v>
      </c>
      <c r="AB12" s="48">
        <f t="shared" si="6"/>
        <v>75</v>
      </c>
      <c r="AC12" s="104">
        <f t="shared" si="7"/>
        <v>0.75</v>
      </c>
      <c r="AD12" s="48" t="str">
        <f>LOOKUP(AC12,'Semester 1'!$I$24:$I$28,'Semester 1'!$N$24:$N$28)</f>
        <v>B</v>
      </c>
      <c r="AE12" s="48" t="str">
        <f t="shared" si="17"/>
        <v>3</v>
      </c>
      <c r="AF12" s="48">
        <v>22</v>
      </c>
      <c r="AG12" s="48">
        <v>11</v>
      </c>
      <c r="AH12" s="48">
        <v>35</v>
      </c>
      <c r="AI12" s="48">
        <f t="shared" si="8"/>
        <v>68</v>
      </c>
      <c r="AJ12" s="104">
        <f t="shared" si="9"/>
        <v>0.68</v>
      </c>
      <c r="AK12" s="48" t="str">
        <f>LOOKUP(AJ12,'Semester 1'!$I$24:$I$28,'Semester 1'!$N$24:$N$28)</f>
        <v>C</v>
      </c>
      <c r="AL12" s="48" t="str">
        <f t="shared" si="18"/>
        <v>2</v>
      </c>
      <c r="AM12" s="48">
        <v>15</v>
      </c>
      <c r="AN12" s="48">
        <v>12</v>
      </c>
      <c r="AO12" s="48">
        <v>38</v>
      </c>
      <c r="AP12" s="48">
        <f t="shared" si="10"/>
        <v>65</v>
      </c>
      <c r="AQ12" s="104">
        <f t="shared" si="11"/>
        <v>0.65</v>
      </c>
      <c r="AR12" s="48" t="str">
        <f>LOOKUP(AQ12,'Semester 1'!$I$24:$I$28,'Semester 1'!$N$24:$N$28)</f>
        <v>C</v>
      </c>
      <c r="AS12" s="48" t="str">
        <f t="shared" si="19"/>
        <v>2</v>
      </c>
      <c r="AT12" s="48">
        <v>13</v>
      </c>
      <c r="AU12" s="48">
        <v>19</v>
      </c>
      <c r="AV12" s="48">
        <v>37</v>
      </c>
      <c r="AW12" s="48">
        <f t="shared" si="12"/>
        <v>69</v>
      </c>
      <c r="AX12" s="104">
        <f t="shared" si="13"/>
        <v>0.69</v>
      </c>
      <c r="AY12" s="48" t="str">
        <f>LOOKUP(AX12,'Semester 1'!$I$24:$I$28,'Semester 1'!$N$24:$N$28)</f>
        <v>C</v>
      </c>
      <c r="AZ12" s="48" t="str">
        <f t="shared" si="20"/>
        <v>2</v>
      </c>
      <c r="BA12" s="48">
        <f t="shared" si="21"/>
        <v>39</v>
      </c>
      <c r="BB12" s="48">
        <f t="shared" si="22"/>
        <v>2.1666666666666665</v>
      </c>
      <c r="BC12" s="48">
        <f>AVERAGE(BB12,'Semester 1'!AN12,'Semester 2'!AN12,'Semester 3'!AN12,'Semester 4'!AU12,'Semester 5'!AU12)</f>
        <v>2.4253968253968252</v>
      </c>
      <c r="BD12" s="48" t="str">
        <f t="shared" si="23"/>
        <v/>
      </c>
    </row>
    <row r="13" spans="2:56" x14ac:dyDescent="0.3">
      <c r="B13" s="11">
        <f>'Semester 1'!B13</f>
        <v>4</v>
      </c>
      <c r="C13" s="11" t="str">
        <f>'Semester 1'!C13</f>
        <v>Shahid Saeed</v>
      </c>
      <c r="D13" s="48">
        <v>22</v>
      </c>
      <c r="E13" s="48">
        <v>18</v>
      </c>
      <c r="F13" s="48">
        <v>43</v>
      </c>
      <c r="G13" s="48">
        <f t="shared" si="0"/>
        <v>83</v>
      </c>
      <c r="H13" s="104">
        <f t="shared" si="1"/>
        <v>0.83</v>
      </c>
      <c r="I13" s="48" t="str">
        <f>LOOKUP(H13,'Semester 1'!$I$24:$I$28,'Semester 1'!$N$24:$N$28)</f>
        <v>A</v>
      </c>
      <c r="J13" s="48" t="str">
        <f t="shared" si="14"/>
        <v>4</v>
      </c>
      <c r="K13" s="48">
        <v>14</v>
      </c>
      <c r="L13" s="48">
        <v>17</v>
      </c>
      <c r="M13" s="48">
        <v>31</v>
      </c>
      <c r="N13" s="48">
        <f t="shared" si="2"/>
        <v>62</v>
      </c>
      <c r="O13" s="104">
        <f t="shared" si="3"/>
        <v>0.62</v>
      </c>
      <c r="P13" s="48" t="str">
        <f>LOOKUP(O13,'Semester 1'!$I$24:$I$28,'Semester 1'!$N$24:$N$28)</f>
        <v>C</v>
      </c>
      <c r="Q13" s="48" t="str">
        <f t="shared" si="15"/>
        <v>2</v>
      </c>
      <c r="R13" s="48">
        <v>20</v>
      </c>
      <c r="S13" s="48">
        <v>22</v>
      </c>
      <c r="T13" s="48">
        <v>34</v>
      </c>
      <c r="U13" s="48">
        <f t="shared" si="4"/>
        <v>76</v>
      </c>
      <c r="V13" s="104">
        <f t="shared" si="5"/>
        <v>0.76</v>
      </c>
      <c r="W13" s="48" t="str">
        <f>LOOKUP(V13,'Semester 1'!$I$24:$I$28,'Semester 1'!$N$24:$N$28)</f>
        <v>B</v>
      </c>
      <c r="X13" s="48" t="str">
        <f t="shared" si="16"/>
        <v>3</v>
      </c>
      <c r="Y13" s="48">
        <v>11</v>
      </c>
      <c r="Z13" s="48">
        <v>22</v>
      </c>
      <c r="AA13" s="48">
        <v>44</v>
      </c>
      <c r="AB13" s="48">
        <f t="shared" si="6"/>
        <v>77</v>
      </c>
      <c r="AC13" s="104">
        <f t="shared" si="7"/>
        <v>0.77</v>
      </c>
      <c r="AD13" s="48" t="str">
        <f>LOOKUP(AC13,'Semester 1'!$I$24:$I$28,'Semester 1'!$N$24:$N$28)</f>
        <v>B</v>
      </c>
      <c r="AE13" s="48" t="str">
        <f t="shared" si="17"/>
        <v>3</v>
      </c>
      <c r="AF13" s="48">
        <v>17</v>
      </c>
      <c r="AG13" s="48">
        <v>18</v>
      </c>
      <c r="AH13" s="48">
        <v>34</v>
      </c>
      <c r="AI13" s="48">
        <f t="shared" si="8"/>
        <v>69</v>
      </c>
      <c r="AJ13" s="104">
        <f t="shared" si="9"/>
        <v>0.69</v>
      </c>
      <c r="AK13" s="48" t="str">
        <f>LOOKUP(AJ13,'Semester 1'!$I$24:$I$28,'Semester 1'!$N$24:$N$28)</f>
        <v>C</v>
      </c>
      <c r="AL13" s="48" t="str">
        <f t="shared" si="18"/>
        <v>2</v>
      </c>
      <c r="AM13" s="48">
        <v>21</v>
      </c>
      <c r="AN13" s="48">
        <v>21</v>
      </c>
      <c r="AO13" s="48">
        <v>31</v>
      </c>
      <c r="AP13" s="48">
        <f t="shared" si="10"/>
        <v>73</v>
      </c>
      <c r="AQ13" s="104">
        <f t="shared" si="11"/>
        <v>0.73</v>
      </c>
      <c r="AR13" s="48" t="str">
        <f>LOOKUP(AQ13,'Semester 1'!$I$24:$I$28,'Semester 1'!$N$24:$N$28)</f>
        <v>B</v>
      </c>
      <c r="AS13" s="48" t="str">
        <f t="shared" si="19"/>
        <v>3</v>
      </c>
      <c r="AT13" s="48">
        <v>21</v>
      </c>
      <c r="AU13" s="48">
        <v>20</v>
      </c>
      <c r="AV13" s="48">
        <v>44</v>
      </c>
      <c r="AW13" s="48">
        <f t="shared" si="12"/>
        <v>85</v>
      </c>
      <c r="AX13" s="104">
        <f t="shared" si="13"/>
        <v>0.85</v>
      </c>
      <c r="AY13" s="48" t="str">
        <f>LOOKUP(AX13,'Semester 1'!$I$24:$I$28,'Semester 1'!$N$24:$N$28)</f>
        <v>A</v>
      </c>
      <c r="AZ13" s="48" t="str">
        <f t="shared" si="20"/>
        <v>4</v>
      </c>
      <c r="BA13" s="48">
        <f t="shared" si="21"/>
        <v>53</v>
      </c>
      <c r="BB13" s="48">
        <f t="shared" si="22"/>
        <v>2.9444444444444446</v>
      </c>
      <c r="BC13" s="48">
        <f>AVERAGE(BB13,'Semester 1'!AN13,'Semester 2'!AN13,'Semester 3'!AN13,'Semester 4'!AU13,'Semester 5'!AU13)</f>
        <v>2.7851851851851848</v>
      </c>
      <c r="BD13" s="48" t="str">
        <f t="shared" si="23"/>
        <v>Second</v>
      </c>
    </row>
    <row r="14" spans="2:56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20</v>
      </c>
      <c r="F14" s="48">
        <v>44</v>
      </c>
      <c r="G14" s="48">
        <f t="shared" si="0"/>
        <v>77</v>
      </c>
      <c r="H14" s="104">
        <f t="shared" si="1"/>
        <v>0.77</v>
      </c>
      <c r="I14" s="48" t="str">
        <f>LOOKUP(H14,'Semester 1'!$I$24:$I$28,'Semester 1'!$N$24:$N$28)</f>
        <v>B</v>
      </c>
      <c r="J14" s="48" t="str">
        <f t="shared" si="14"/>
        <v>3</v>
      </c>
      <c r="K14" s="48">
        <v>18</v>
      </c>
      <c r="L14" s="48">
        <v>23</v>
      </c>
      <c r="M14" s="48">
        <v>43</v>
      </c>
      <c r="N14" s="48">
        <f t="shared" si="2"/>
        <v>84</v>
      </c>
      <c r="O14" s="104">
        <f t="shared" si="3"/>
        <v>0.84</v>
      </c>
      <c r="P14" s="48" t="str">
        <f>LOOKUP(O14,'Semester 1'!$I$24:$I$28,'Semester 1'!$N$24:$N$28)</f>
        <v>A</v>
      </c>
      <c r="Q14" s="48" t="str">
        <f t="shared" si="15"/>
        <v>4</v>
      </c>
      <c r="R14" s="48">
        <v>19</v>
      </c>
      <c r="S14" s="48">
        <v>18</v>
      </c>
      <c r="T14" s="48">
        <v>41</v>
      </c>
      <c r="U14" s="48">
        <f t="shared" si="4"/>
        <v>78</v>
      </c>
      <c r="V14" s="104">
        <f t="shared" si="5"/>
        <v>0.78</v>
      </c>
      <c r="W14" s="48" t="str">
        <f>LOOKUP(V14,'Semester 1'!$I$24:$I$28,'Semester 1'!$N$24:$N$28)</f>
        <v>B</v>
      </c>
      <c r="X14" s="48" t="str">
        <f t="shared" si="16"/>
        <v>3</v>
      </c>
      <c r="Y14" s="48">
        <v>13</v>
      </c>
      <c r="Z14" s="48">
        <v>11</v>
      </c>
      <c r="AA14" s="48">
        <v>40</v>
      </c>
      <c r="AB14" s="48">
        <f t="shared" si="6"/>
        <v>64</v>
      </c>
      <c r="AC14" s="104">
        <f t="shared" si="7"/>
        <v>0.64</v>
      </c>
      <c r="AD14" s="48" t="str">
        <f>LOOKUP(AC14,'Semester 1'!$I$24:$I$28,'Semester 1'!$N$24:$N$28)</f>
        <v>C</v>
      </c>
      <c r="AE14" s="48" t="str">
        <f t="shared" si="17"/>
        <v>2</v>
      </c>
      <c r="AF14" s="48">
        <v>12</v>
      </c>
      <c r="AG14" s="48">
        <v>14</v>
      </c>
      <c r="AH14" s="48">
        <v>43</v>
      </c>
      <c r="AI14" s="48">
        <f t="shared" si="8"/>
        <v>69</v>
      </c>
      <c r="AJ14" s="104">
        <f t="shared" si="9"/>
        <v>0.69</v>
      </c>
      <c r="AK14" s="48" t="str">
        <f>LOOKUP(AJ14,'Semester 1'!$I$24:$I$28,'Semester 1'!$N$24:$N$28)</f>
        <v>C</v>
      </c>
      <c r="AL14" s="48" t="str">
        <f t="shared" si="18"/>
        <v>2</v>
      </c>
      <c r="AM14" s="48">
        <v>19</v>
      </c>
      <c r="AN14" s="48">
        <v>14</v>
      </c>
      <c r="AO14" s="48">
        <v>35</v>
      </c>
      <c r="AP14" s="48">
        <f t="shared" si="10"/>
        <v>68</v>
      </c>
      <c r="AQ14" s="104">
        <f t="shared" si="11"/>
        <v>0.68</v>
      </c>
      <c r="AR14" s="48" t="str">
        <f>LOOKUP(AQ14,'Semester 1'!$I$24:$I$28,'Semester 1'!$N$24:$N$28)</f>
        <v>C</v>
      </c>
      <c r="AS14" s="48" t="str">
        <f t="shared" si="19"/>
        <v>2</v>
      </c>
      <c r="AT14" s="48">
        <v>13</v>
      </c>
      <c r="AU14" s="48">
        <v>10</v>
      </c>
      <c r="AV14" s="48">
        <v>47</v>
      </c>
      <c r="AW14" s="48">
        <f t="shared" si="12"/>
        <v>70</v>
      </c>
      <c r="AX14" s="104">
        <f t="shared" si="13"/>
        <v>0.7</v>
      </c>
      <c r="AY14" s="48" t="str">
        <f>LOOKUP(AX14,'Semester 1'!$I$24:$I$28,'Semester 1'!$N$24:$N$28)</f>
        <v>B</v>
      </c>
      <c r="AZ14" s="48" t="str">
        <f t="shared" si="20"/>
        <v>3</v>
      </c>
      <c r="BA14" s="48">
        <f t="shared" si="21"/>
        <v>50</v>
      </c>
      <c r="BB14" s="48">
        <f t="shared" si="22"/>
        <v>2.7777777777777777</v>
      </c>
      <c r="BC14" s="48">
        <f>AVERAGE(BB14,'Semester 1'!AN14,'Semester 2'!AN14,'Semester 3'!AN14,'Semester 4'!AU14,'Semester 5'!AU14)</f>
        <v>2.5351851851851852</v>
      </c>
      <c r="BD14" s="48" t="str">
        <f t="shared" si="23"/>
        <v/>
      </c>
    </row>
    <row r="15" spans="2:56" x14ac:dyDescent="0.3">
      <c r="B15" s="11">
        <f>'Semester 1'!B15</f>
        <v>6</v>
      </c>
      <c r="C15" s="11" t="str">
        <f>'Semester 1'!C15</f>
        <v>Muhammad Saad</v>
      </c>
      <c r="D15" s="48">
        <v>15</v>
      </c>
      <c r="E15" s="48">
        <v>18</v>
      </c>
      <c r="F15" s="48">
        <v>35</v>
      </c>
      <c r="G15" s="48">
        <f t="shared" si="0"/>
        <v>68</v>
      </c>
      <c r="H15" s="104">
        <f t="shared" si="1"/>
        <v>0.68</v>
      </c>
      <c r="I15" s="48" t="str">
        <f>LOOKUP(H15,'Semester 1'!$I$24:$I$28,'Semester 1'!$N$24:$N$28)</f>
        <v>C</v>
      </c>
      <c r="J15" s="48" t="str">
        <f t="shared" si="14"/>
        <v>2</v>
      </c>
      <c r="K15" s="48">
        <v>19</v>
      </c>
      <c r="L15" s="48">
        <v>11</v>
      </c>
      <c r="M15" s="48">
        <v>33</v>
      </c>
      <c r="N15" s="48">
        <f t="shared" si="2"/>
        <v>63</v>
      </c>
      <c r="O15" s="104">
        <f t="shared" si="3"/>
        <v>0.63</v>
      </c>
      <c r="P15" s="48" t="str">
        <f>LOOKUP(O15,'Semester 1'!$I$24:$I$28,'Semester 1'!$N$24:$N$28)</f>
        <v>C</v>
      </c>
      <c r="Q15" s="48" t="str">
        <f t="shared" si="15"/>
        <v>2</v>
      </c>
      <c r="R15" s="48">
        <v>17</v>
      </c>
      <c r="S15" s="48">
        <v>20</v>
      </c>
      <c r="T15" s="48">
        <v>32</v>
      </c>
      <c r="U15" s="48">
        <f t="shared" si="4"/>
        <v>69</v>
      </c>
      <c r="V15" s="104">
        <f t="shared" si="5"/>
        <v>0.69</v>
      </c>
      <c r="W15" s="48" t="str">
        <f>LOOKUP(V15,'Semester 1'!$I$24:$I$28,'Semester 1'!$N$24:$N$28)</f>
        <v>C</v>
      </c>
      <c r="X15" s="48" t="str">
        <f t="shared" si="16"/>
        <v>2</v>
      </c>
      <c r="Y15" s="48">
        <v>11</v>
      </c>
      <c r="Z15" s="48">
        <v>12</v>
      </c>
      <c r="AA15" s="48">
        <v>39</v>
      </c>
      <c r="AB15" s="48">
        <f t="shared" si="6"/>
        <v>62</v>
      </c>
      <c r="AC15" s="104">
        <f t="shared" si="7"/>
        <v>0.62</v>
      </c>
      <c r="AD15" s="48" t="str">
        <f>LOOKUP(AC15,'Semester 1'!$I$24:$I$28,'Semester 1'!$N$24:$N$28)</f>
        <v>C</v>
      </c>
      <c r="AE15" s="48" t="str">
        <f t="shared" si="17"/>
        <v>2</v>
      </c>
      <c r="AF15" s="48">
        <v>21</v>
      </c>
      <c r="AG15" s="48">
        <v>11</v>
      </c>
      <c r="AH15" s="48">
        <v>42</v>
      </c>
      <c r="AI15" s="48">
        <f t="shared" si="8"/>
        <v>74</v>
      </c>
      <c r="AJ15" s="104">
        <f t="shared" si="9"/>
        <v>0.74</v>
      </c>
      <c r="AK15" s="48" t="str">
        <f>LOOKUP(AJ15,'Semester 1'!$I$24:$I$28,'Semester 1'!$N$24:$N$28)</f>
        <v>B</v>
      </c>
      <c r="AL15" s="48" t="str">
        <f t="shared" si="18"/>
        <v>3</v>
      </c>
      <c r="AM15" s="48">
        <v>12</v>
      </c>
      <c r="AN15" s="48">
        <v>16</v>
      </c>
      <c r="AO15" s="48">
        <v>36</v>
      </c>
      <c r="AP15" s="48">
        <f t="shared" si="10"/>
        <v>64</v>
      </c>
      <c r="AQ15" s="104">
        <f t="shared" si="11"/>
        <v>0.64</v>
      </c>
      <c r="AR15" s="48" t="str">
        <f>LOOKUP(AQ15,'Semester 1'!$I$24:$I$28,'Semester 1'!$N$24:$N$28)</f>
        <v>C</v>
      </c>
      <c r="AS15" s="48" t="str">
        <f t="shared" si="19"/>
        <v>2</v>
      </c>
      <c r="AT15" s="48">
        <v>13</v>
      </c>
      <c r="AU15" s="48">
        <v>15</v>
      </c>
      <c r="AV15" s="48">
        <v>33</v>
      </c>
      <c r="AW15" s="48">
        <f t="shared" si="12"/>
        <v>61</v>
      </c>
      <c r="AX15" s="104">
        <f t="shared" si="13"/>
        <v>0.61</v>
      </c>
      <c r="AY15" s="48" t="str">
        <f>LOOKUP(AX15,'Semester 1'!$I$24:$I$28,'Semester 1'!$N$24:$N$28)</f>
        <v>C</v>
      </c>
      <c r="AZ15" s="48" t="str">
        <f t="shared" si="20"/>
        <v>2</v>
      </c>
      <c r="BA15" s="48">
        <f t="shared" si="21"/>
        <v>39</v>
      </c>
      <c r="BB15" s="48">
        <f t="shared" si="22"/>
        <v>2.1666666666666665</v>
      </c>
      <c r="BC15" s="48">
        <f>AVERAGE(BB15,'Semester 1'!AN15,'Semester 2'!AN15,'Semester 3'!AN15,'Semester 4'!AU15,'Semester 5'!AU15)</f>
        <v>2.181746031746032</v>
      </c>
      <c r="BD15" s="48" t="str">
        <f t="shared" si="23"/>
        <v/>
      </c>
    </row>
    <row r="16" spans="2:56" x14ac:dyDescent="0.3">
      <c r="B16" s="11">
        <f>'Semester 1'!B16</f>
        <v>7</v>
      </c>
      <c r="C16" s="11" t="str">
        <f>'Semester 1'!C16</f>
        <v>Abdul Moiz</v>
      </c>
      <c r="D16" s="48">
        <v>20</v>
      </c>
      <c r="E16" s="48">
        <v>11</v>
      </c>
      <c r="F16" s="48">
        <v>42</v>
      </c>
      <c r="G16" s="48">
        <f t="shared" si="0"/>
        <v>73</v>
      </c>
      <c r="H16" s="104">
        <f t="shared" si="1"/>
        <v>0.73</v>
      </c>
      <c r="I16" s="48" t="str">
        <f>LOOKUP(H16,'Semester 1'!$I$24:$I$28,'Semester 1'!$N$24:$N$28)</f>
        <v>B</v>
      </c>
      <c r="J16" s="48" t="str">
        <f t="shared" si="14"/>
        <v>3</v>
      </c>
      <c r="K16" s="48">
        <v>14</v>
      </c>
      <c r="L16" s="48">
        <v>23</v>
      </c>
      <c r="M16" s="48">
        <v>44</v>
      </c>
      <c r="N16" s="48">
        <f t="shared" si="2"/>
        <v>81</v>
      </c>
      <c r="O16" s="104">
        <f t="shared" si="3"/>
        <v>0.81</v>
      </c>
      <c r="P16" s="48" t="str">
        <f>LOOKUP(O16,'Semester 1'!$I$24:$I$28,'Semester 1'!$N$24:$N$28)</f>
        <v>A</v>
      </c>
      <c r="Q16" s="48" t="str">
        <f t="shared" si="15"/>
        <v>4</v>
      </c>
      <c r="R16" s="48">
        <v>12</v>
      </c>
      <c r="S16" s="48">
        <v>20</v>
      </c>
      <c r="T16" s="48">
        <v>40</v>
      </c>
      <c r="U16" s="48">
        <f t="shared" si="4"/>
        <v>72</v>
      </c>
      <c r="V16" s="104">
        <f t="shared" si="5"/>
        <v>0.72</v>
      </c>
      <c r="W16" s="48" t="str">
        <f>LOOKUP(V16,'Semester 1'!$I$24:$I$28,'Semester 1'!$N$24:$N$28)</f>
        <v>B</v>
      </c>
      <c r="X16" s="48" t="str">
        <f t="shared" si="16"/>
        <v>3</v>
      </c>
      <c r="Y16" s="48">
        <v>12</v>
      </c>
      <c r="Z16" s="48">
        <v>22</v>
      </c>
      <c r="AA16" s="48">
        <v>31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7"/>
        <v>2</v>
      </c>
      <c r="AF16" s="48">
        <v>21</v>
      </c>
      <c r="AG16" s="48">
        <v>16</v>
      </c>
      <c r="AH16" s="48">
        <v>32</v>
      </c>
      <c r="AI16" s="48">
        <f t="shared" si="8"/>
        <v>69</v>
      </c>
      <c r="AJ16" s="104">
        <f t="shared" si="9"/>
        <v>0.69</v>
      </c>
      <c r="AK16" s="48" t="str">
        <f>LOOKUP(AJ16,'Semester 1'!$I$24:$I$28,'Semester 1'!$N$24:$N$28)</f>
        <v>C</v>
      </c>
      <c r="AL16" s="48" t="str">
        <f t="shared" si="18"/>
        <v>2</v>
      </c>
      <c r="AM16" s="48">
        <v>22</v>
      </c>
      <c r="AN16" s="48">
        <v>12</v>
      </c>
      <c r="AO16" s="48">
        <v>34</v>
      </c>
      <c r="AP16" s="48">
        <f t="shared" si="10"/>
        <v>68</v>
      </c>
      <c r="AQ16" s="104">
        <f t="shared" si="11"/>
        <v>0.68</v>
      </c>
      <c r="AR16" s="48" t="str">
        <f>LOOKUP(AQ16,'Semester 1'!$I$24:$I$28,'Semester 1'!$N$24:$N$28)</f>
        <v>C</v>
      </c>
      <c r="AS16" s="48" t="str">
        <f t="shared" si="19"/>
        <v>2</v>
      </c>
      <c r="AT16" s="48">
        <v>13</v>
      </c>
      <c r="AU16" s="48">
        <v>12</v>
      </c>
      <c r="AV16" s="48">
        <v>36</v>
      </c>
      <c r="AW16" s="48">
        <f t="shared" si="12"/>
        <v>61</v>
      </c>
      <c r="AX16" s="104">
        <f t="shared" si="13"/>
        <v>0.61</v>
      </c>
      <c r="AY16" s="48" t="str">
        <f>LOOKUP(AX16,'Semester 1'!$I$24:$I$28,'Semester 1'!$N$24:$N$28)</f>
        <v>C</v>
      </c>
      <c r="AZ16" s="48" t="str">
        <f t="shared" si="20"/>
        <v>2</v>
      </c>
      <c r="BA16" s="48">
        <f t="shared" si="21"/>
        <v>48</v>
      </c>
      <c r="BB16" s="48">
        <f t="shared" si="22"/>
        <v>2.6666666666666665</v>
      </c>
      <c r="BC16" s="48">
        <f>AVERAGE(BB16,'Semester 1'!AN16,'Semester 2'!AN16,'Semester 3'!AN16,'Semester 4'!AU16,'Semester 5'!AU16)</f>
        <v>2.2865079365079364</v>
      </c>
      <c r="BD16" s="48" t="str">
        <f t="shared" si="23"/>
        <v/>
      </c>
    </row>
    <row r="17" spans="2:56" x14ac:dyDescent="0.3">
      <c r="B17" s="11">
        <f>'Semester 1'!B17</f>
        <v>8</v>
      </c>
      <c r="C17" s="11" t="str">
        <f>'Semester 1'!C17</f>
        <v>Usama Khan</v>
      </c>
      <c r="D17" s="48">
        <v>11</v>
      </c>
      <c r="E17" s="48">
        <v>15</v>
      </c>
      <c r="F17" s="48">
        <v>43</v>
      </c>
      <c r="G17" s="48">
        <f t="shared" si="0"/>
        <v>69</v>
      </c>
      <c r="H17" s="104">
        <f t="shared" si="1"/>
        <v>0.69</v>
      </c>
      <c r="I17" s="48" t="str">
        <f>LOOKUP(H17,'Semester 1'!$I$24:$I$28,'Semester 1'!$N$24:$N$28)</f>
        <v>C</v>
      </c>
      <c r="J17" s="48" t="str">
        <f t="shared" si="14"/>
        <v>2</v>
      </c>
      <c r="K17" s="48">
        <v>23</v>
      </c>
      <c r="L17" s="48">
        <v>23</v>
      </c>
      <c r="M17" s="48">
        <v>38</v>
      </c>
      <c r="N17" s="48">
        <f t="shared" si="2"/>
        <v>84</v>
      </c>
      <c r="O17" s="104">
        <f t="shared" si="3"/>
        <v>0.84</v>
      </c>
      <c r="P17" s="48" t="str">
        <f>LOOKUP(O17,'Semester 1'!$I$24:$I$28,'Semester 1'!$N$24:$N$28)</f>
        <v>A</v>
      </c>
      <c r="Q17" s="48" t="str">
        <f t="shared" si="15"/>
        <v>4</v>
      </c>
      <c r="R17" s="48">
        <v>17</v>
      </c>
      <c r="S17" s="48">
        <v>14</v>
      </c>
      <c r="T17" s="48">
        <v>35</v>
      </c>
      <c r="U17" s="48">
        <f t="shared" si="4"/>
        <v>66</v>
      </c>
      <c r="V17" s="104">
        <f t="shared" si="5"/>
        <v>0.66</v>
      </c>
      <c r="W17" s="48" t="str">
        <f>LOOKUP(V17,'Semester 1'!$I$24:$I$28,'Semester 1'!$N$24:$N$28)</f>
        <v>C</v>
      </c>
      <c r="X17" s="48" t="str">
        <f t="shared" si="16"/>
        <v>2</v>
      </c>
      <c r="Y17" s="48">
        <v>13</v>
      </c>
      <c r="Z17" s="48">
        <v>19</v>
      </c>
      <c r="AA17" s="48">
        <v>35</v>
      </c>
      <c r="AB17" s="48">
        <f t="shared" si="6"/>
        <v>67</v>
      </c>
      <c r="AC17" s="104">
        <f t="shared" si="7"/>
        <v>0.67</v>
      </c>
      <c r="AD17" s="48" t="str">
        <f>LOOKUP(AC17,'Semester 1'!$I$24:$I$28,'Semester 1'!$N$24:$N$28)</f>
        <v>C</v>
      </c>
      <c r="AE17" s="48" t="str">
        <f t="shared" si="17"/>
        <v>2</v>
      </c>
      <c r="AF17" s="48">
        <v>14</v>
      </c>
      <c r="AG17" s="48">
        <v>21</v>
      </c>
      <c r="AH17" s="48">
        <v>34</v>
      </c>
      <c r="AI17" s="48">
        <f t="shared" si="8"/>
        <v>69</v>
      </c>
      <c r="AJ17" s="104">
        <f t="shared" si="9"/>
        <v>0.69</v>
      </c>
      <c r="AK17" s="48" t="str">
        <f>LOOKUP(AJ17,'Semester 1'!$I$24:$I$28,'Semester 1'!$N$24:$N$28)</f>
        <v>C</v>
      </c>
      <c r="AL17" s="48" t="str">
        <f t="shared" si="18"/>
        <v>2</v>
      </c>
      <c r="AM17" s="48">
        <v>21</v>
      </c>
      <c r="AN17" s="48">
        <v>14</v>
      </c>
      <c r="AO17" s="48">
        <v>38</v>
      </c>
      <c r="AP17" s="48">
        <f t="shared" si="10"/>
        <v>73</v>
      </c>
      <c r="AQ17" s="104">
        <f t="shared" si="11"/>
        <v>0.73</v>
      </c>
      <c r="AR17" s="48" t="str">
        <f>LOOKUP(AQ17,'Semester 1'!$I$24:$I$28,'Semester 1'!$N$24:$N$28)</f>
        <v>B</v>
      </c>
      <c r="AS17" s="48" t="str">
        <f t="shared" si="19"/>
        <v>3</v>
      </c>
      <c r="AT17" s="48">
        <v>13</v>
      </c>
      <c r="AU17" s="48">
        <v>16</v>
      </c>
      <c r="AV17" s="48">
        <v>44</v>
      </c>
      <c r="AW17" s="48">
        <f t="shared" si="12"/>
        <v>73</v>
      </c>
      <c r="AX17" s="104">
        <f t="shared" si="13"/>
        <v>0.73</v>
      </c>
      <c r="AY17" s="48" t="str">
        <f>LOOKUP(AX17,'Semester 1'!$I$24:$I$28,'Semester 1'!$N$24:$N$28)</f>
        <v>B</v>
      </c>
      <c r="AZ17" s="48" t="str">
        <f t="shared" si="20"/>
        <v>3</v>
      </c>
      <c r="BA17" s="48">
        <f t="shared" si="21"/>
        <v>45</v>
      </c>
      <c r="BB17" s="48">
        <f t="shared" si="22"/>
        <v>2.5</v>
      </c>
      <c r="BC17" s="48">
        <f>AVERAGE(BB17,'Semester 1'!AN17,'Semester 2'!AN17,'Semester 3'!AN17,'Semester 4'!AU17,'Semester 5'!AU17)</f>
        <v>2.3357142857142859</v>
      </c>
      <c r="BD17" s="48" t="str">
        <f t="shared" si="23"/>
        <v/>
      </c>
    </row>
    <row r="18" spans="2:56" x14ac:dyDescent="0.3">
      <c r="B18" s="11">
        <f>'Semester 1'!B18</f>
        <v>9</v>
      </c>
      <c r="C18" s="11" t="str">
        <f>'Semester 1'!C18</f>
        <v>Momin Saeed</v>
      </c>
      <c r="D18" s="48">
        <v>12</v>
      </c>
      <c r="E18" s="48">
        <v>11</v>
      </c>
      <c r="F18" s="48">
        <v>43</v>
      </c>
      <c r="G18" s="48">
        <f t="shared" si="0"/>
        <v>66</v>
      </c>
      <c r="H18" s="104">
        <f t="shared" si="1"/>
        <v>0.66</v>
      </c>
      <c r="I18" s="48" t="str">
        <f>LOOKUP(H18,'Semester 1'!$I$24:$I$28,'Semester 1'!$N$24:$N$28)</f>
        <v>C</v>
      </c>
      <c r="J18" s="48" t="str">
        <f t="shared" si="14"/>
        <v>2</v>
      </c>
      <c r="K18" s="48">
        <v>20</v>
      </c>
      <c r="L18" s="48">
        <v>20</v>
      </c>
      <c r="M18" s="48">
        <v>34</v>
      </c>
      <c r="N18" s="48">
        <f t="shared" si="2"/>
        <v>74</v>
      </c>
      <c r="O18" s="104">
        <f t="shared" si="3"/>
        <v>0.74</v>
      </c>
      <c r="P18" s="48" t="str">
        <f>LOOKUP(O18,'Semester 1'!$I$24:$I$28,'Semester 1'!$N$24:$N$28)</f>
        <v>B</v>
      </c>
      <c r="Q18" s="48" t="str">
        <f t="shared" si="15"/>
        <v>3</v>
      </c>
      <c r="R18" s="48">
        <v>20</v>
      </c>
      <c r="S18" s="48">
        <v>16</v>
      </c>
      <c r="T18" s="48">
        <v>30</v>
      </c>
      <c r="U18" s="48">
        <f t="shared" si="4"/>
        <v>66</v>
      </c>
      <c r="V18" s="104">
        <f t="shared" si="5"/>
        <v>0.66</v>
      </c>
      <c r="W18" s="48" t="str">
        <f>LOOKUP(V18,'Semester 1'!$I$24:$I$28,'Semester 1'!$N$24:$N$28)</f>
        <v>C</v>
      </c>
      <c r="X18" s="48" t="str">
        <f t="shared" si="16"/>
        <v>2</v>
      </c>
      <c r="Y18" s="48">
        <v>17</v>
      </c>
      <c r="Z18" s="48">
        <v>17</v>
      </c>
      <c r="AA18" s="48">
        <v>35</v>
      </c>
      <c r="AB18" s="48">
        <f t="shared" si="6"/>
        <v>69</v>
      </c>
      <c r="AC18" s="104">
        <f t="shared" si="7"/>
        <v>0.69</v>
      </c>
      <c r="AD18" s="48" t="str">
        <f>LOOKUP(AC18,'Semester 1'!$I$24:$I$28,'Semester 1'!$N$24:$N$28)</f>
        <v>C</v>
      </c>
      <c r="AE18" s="48" t="str">
        <f t="shared" si="17"/>
        <v>2</v>
      </c>
      <c r="AF18" s="48">
        <v>19</v>
      </c>
      <c r="AG18" s="48">
        <v>16</v>
      </c>
      <c r="AH18" s="48">
        <v>42</v>
      </c>
      <c r="AI18" s="48">
        <f t="shared" si="8"/>
        <v>77</v>
      </c>
      <c r="AJ18" s="104">
        <f t="shared" si="9"/>
        <v>0.77</v>
      </c>
      <c r="AK18" s="48" t="str">
        <f>LOOKUP(AJ18,'Semester 1'!$I$24:$I$28,'Semester 1'!$N$24:$N$28)</f>
        <v>B</v>
      </c>
      <c r="AL18" s="48" t="str">
        <f t="shared" si="18"/>
        <v>3</v>
      </c>
      <c r="AM18" s="48">
        <v>17</v>
      </c>
      <c r="AN18" s="48">
        <v>15</v>
      </c>
      <c r="AO18" s="48">
        <v>34</v>
      </c>
      <c r="AP18" s="48">
        <f t="shared" si="10"/>
        <v>66</v>
      </c>
      <c r="AQ18" s="104">
        <f t="shared" si="11"/>
        <v>0.66</v>
      </c>
      <c r="AR18" s="48" t="str">
        <f>LOOKUP(AQ18,'Semester 1'!$I$24:$I$28,'Semester 1'!$N$24:$N$28)</f>
        <v>C</v>
      </c>
      <c r="AS18" s="48" t="str">
        <f t="shared" si="19"/>
        <v>2</v>
      </c>
      <c r="AT18" s="48">
        <v>13</v>
      </c>
      <c r="AU18" s="48">
        <v>20</v>
      </c>
      <c r="AV18" s="48">
        <v>32</v>
      </c>
      <c r="AW18" s="48">
        <f t="shared" si="12"/>
        <v>65</v>
      </c>
      <c r="AX18" s="104">
        <f t="shared" si="13"/>
        <v>0.65</v>
      </c>
      <c r="AY18" s="48" t="str">
        <f>LOOKUP(AX18,'Semester 1'!$I$24:$I$28,'Semester 1'!$N$24:$N$28)</f>
        <v>C</v>
      </c>
      <c r="AZ18" s="48" t="str">
        <f t="shared" si="20"/>
        <v>2</v>
      </c>
      <c r="BA18" s="48">
        <f t="shared" si="21"/>
        <v>42</v>
      </c>
      <c r="BB18" s="48">
        <f t="shared" si="22"/>
        <v>2.3333333333333335</v>
      </c>
      <c r="BC18" s="48">
        <f>AVERAGE(BB18,'Semester 1'!AN18,'Semester 2'!AN18,'Semester 3'!AN18,'Semester 4'!AU18,'Semester 5'!AU18)</f>
        <v>2.3793650793650793</v>
      </c>
      <c r="BD18" s="48" t="str">
        <f t="shared" si="23"/>
        <v/>
      </c>
    </row>
    <row r="19" spans="2:56" ht="15" thickBot="1" x14ac:dyDescent="0.35">
      <c r="B19" s="12">
        <f>'Semester 1'!B19</f>
        <v>10</v>
      </c>
      <c r="C19" s="12" t="str">
        <f>'Semester 1'!C19</f>
        <v>Moeez Akbar</v>
      </c>
      <c r="D19" s="89">
        <v>15</v>
      </c>
      <c r="E19" s="89">
        <v>22</v>
      </c>
      <c r="F19" s="89">
        <v>33</v>
      </c>
      <c r="G19" s="89">
        <f t="shared" si="0"/>
        <v>70</v>
      </c>
      <c r="H19" s="105">
        <f t="shared" si="1"/>
        <v>0.7</v>
      </c>
      <c r="I19" s="89" t="str">
        <f>LOOKUP(H19,'Semester 1'!$I$24:$I$28,'Semester 1'!$N$24:$N$28)</f>
        <v>B</v>
      </c>
      <c r="J19" s="89" t="str">
        <f t="shared" si="14"/>
        <v>3</v>
      </c>
      <c r="K19" s="89">
        <v>20</v>
      </c>
      <c r="L19" s="89">
        <v>22</v>
      </c>
      <c r="M19" s="89">
        <v>46</v>
      </c>
      <c r="N19" s="89">
        <f t="shared" si="2"/>
        <v>88</v>
      </c>
      <c r="O19" s="105">
        <f t="shared" si="3"/>
        <v>0.88</v>
      </c>
      <c r="P19" s="89" t="str">
        <f>LOOKUP(O19,'Semester 1'!$I$24:$I$28,'Semester 1'!$N$24:$N$28)</f>
        <v>A</v>
      </c>
      <c r="Q19" s="89" t="str">
        <f t="shared" si="15"/>
        <v>4</v>
      </c>
      <c r="R19" s="89">
        <v>24</v>
      </c>
      <c r="S19" s="89">
        <v>21</v>
      </c>
      <c r="T19" s="89">
        <v>40</v>
      </c>
      <c r="U19" s="89">
        <f t="shared" si="4"/>
        <v>85</v>
      </c>
      <c r="V19" s="105">
        <f t="shared" si="5"/>
        <v>0.85</v>
      </c>
      <c r="W19" s="89" t="str">
        <f>LOOKUP(V19,'Semester 1'!$I$24:$I$28,'Semester 1'!$N$24:$N$28)</f>
        <v>A</v>
      </c>
      <c r="X19" s="89" t="str">
        <f t="shared" si="16"/>
        <v>4</v>
      </c>
      <c r="Y19" s="89">
        <v>22</v>
      </c>
      <c r="Z19" s="89">
        <v>23</v>
      </c>
      <c r="AA19" s="89">
        <v>40</v>
      </c>
      <c r="AB19" s="89">
        <f t="shared" si="6"/>
        <v>85</v>
      </c>
      <c r="AC19" s="105">
        <f t="shared" si="7"/>
        <v>0.85</v>
      </c>
      <c r="AD19" s="89" t="str">
        <f>LOOKUP(AC19,'Semester 1'!$I$24:$I$28,'Semester 1'!$N$24:$N$28)</f>
        <v>A</v>
      </c>
      <c r="AE19" s="89" t="str">
        <f t="shared" si="17"/>
        <v>4</v>
      </c>
      <c r="AF19" s="89">
        <v>13</v>
      </c>
      <c r="AG19" s="89">
        <v>21</v>
      </c>
      <c r="AH19" s="89">
        <v>41</v>
      </c>
      <c r="AI19" s="89">
        <f t="shared" si="8"/>
        <v>75</v>
      </c>
      <c r="AJ19" s="105">
        <f t="shared" si="9"/>
        <v>0.75</v>
      </c>
      <c r="AK19" s="89" t="str">
        <f>LOOKUP(AJ19,'Semester 1'!$I$24:$I$28,'Semester 1'!$N$24:$N$28)</f>
        <v>B</v>
      </c>
      <c r="AL19" s="89" t="str">
        <f t="shared" si="18"/>
        <v>3</v>
      </c>
      <c r="AM19" s="89">
        <v>23</v>
      </c>
      <c r="AN19" s="89">
        <v>23</v>
      </c>
      <c r="AO19" s="89">
        <v>41</v>
      </c>
      <c r="AP19" s="89">
        <f t="shared" si="10"/>
        <v>87</v>
      </c>
      <c r="AQ19" s="105">
        <f t="shared" si="11"/>
        <v>0.87</v>
      </c>
      <c r="AR19" s="89" t="str">
        <f>LOOKUP(AQ19,'Semester 1'!$I$24:$I$28,'Semester 1'!$N$24:$N$28)</f>
        <v>A</v>
      </c>
      <c r="AS19" s="89" t="str">
        <f t="shared" si="19"/>
        <v>4</v>
      </c>
      <c r="AT19" s="89">
        <v>21</v>
      </c>
      <c r="AU19" s="89">
        <v>22</v>
      </c>
      <c r="AV19" s="89">
        <v>39</v>
      </c>
      <c r="AW19" s="89">
        <f t="shared" si="12"/>
        <v>82</v>
      </c>
      <c r="AX19" s="105">
        <f t="shared" si="13"/>
        <v>0.82</v>
      </c>
      <c r="AY19" s="89" t="str">
        <f>LOOKUP(AX19,'Semester 1'!$I$24:$I$28,'Semester 1'!$N$24:$N$28)</f>
        <v>A</v>
      </c>
      <c r="AZ19" s="89" t="str">
        <f t="shared" si="20"/>
        <v>4</v>
      </c>
      <c r="BA19" s="89">
        <f t="shared" si="21"/>
        <v>66</v>
      </c>
      <c r="BB19" s="89">
        <f t="shared" si="22"/>
        <v>3.6666666666666665</v>
      </c>
      <c r="BC19" s="89">
        <f>AVERAGE(BB19,'Semester 1'!AN19,'Semester 2'!AN19,'Semester 3'!AN19,'Semester 4'!AU19,'Semester 5'!AU19)</f>
        <v>3.7063492063492061</v>
      </c>
      <c r="BD19" s="89" t="str">
        <f t="shared" si="23"/>
        <v>First</v>
      </c>
    </row>
    <row r="20" spans="2:56" ht="15" thickBot="1" x14ac:dyDescent="0.35"/>
    <row r="21" spans="2:56" ht="15.6" x14ac:dyDescent="0.3">
      <c r="F21" s="34" t="s">
        <v>26</v>
      </c>
      <c r="G21" s="35" t="s">
        <v>27</v>
      </c>
      <c r="H21" s="46" t="s">
        <v>46</v>
      </c>
    </row>
    <row r="22" spans="2:56" x14ac:dyDescent="0.3">
      <c r="F22" s="36">
        <v>1</v>
      </c>
      <c r="G22" s="37" t="s">
        <v>58</v>
      </c>
      <c r="H22" s="2">
        <v>3</v>
      </c>
    </row>
    <row r="23" spans="2:56" x14ac:dyDescent="0.3">
      <c r="F23" s="36">
        <v>2</v>
      </c>
      <c r="G23" s="37" t="s">
        <v>59</v>
      </c>
      <c r="H23" s="2">
        <v>3</v>
      </c>
    </row>
    <row r="24" spans="2:56" x14ac:dyDescent="0.3">
      <c r="F24" s="36">
        <v>3</v>
      </c>
      <c r="G24" s="37" t="s">
        <v>60</v>
      </c>
      <c r="H24" s="2">
        <v>3</v>
      </c>
    </row>
    <row r="25" spans="2:56" x14ac:dyDescent="0.3">
      <c r="F25" s="36">
        <v>4</v>
      </c>
      <c r="G25" s="37" t="s">
        <v>61</v>
      </c>
      <c r="H25" s="2">
        <v>3</v>
      </c>
    </row>
    <row r="26" spans="2:56" x14ac:dyDescent="0.3">
      <c r="F26" s="36">
        <v>5</v>
      </c>
      <c r="G26" s="37" t="s">
        <v>62</v>
      </c>
      <c r="H26" s="2">
        <v>3</v>
      </c>
    </row>
    <row r="27" spans="2:56" x14ac:dyDescent="0.3">
      <c r="F27" s="36">
        <v>6</v>
      </c>
      <c r="G27" s="37" t="s">
        <v>63</v>
      </c>
      <c r="H27" s="2">
        <v>1</v>
      </c>
    </row>
    <row r="28" spans="2:56" ht="15" thickBot="1" x14ac:dyDescent="0.35">
      <c r="F28" s="36">
        <v>7</v>
      </c>
      <c r="G28" s="37" t="s">
        <v>64</v>
      </c>
      <c r="H28" s="2">
        <v>2</v>
      </c>
    </row>
    <row r="29" spans="2:56" ht="15" thickBot="1" x14ac:dyDescent="0.35">
      <c r="F29" s="39"/>
      <c r="G29" s="40" t="s">
        <v>32</v>
      </c>
      <c r="H29" s="38">
        <f>SUM(H22:H28)</f>
        <v>18</v>
      </c>
    </row>
  </sheetData>
  <mergeCells count="10">
    <mergeCell ref="B2:C3"/>
    <mergeCell ref="AT8:AZ8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Y10:AY19">
    <cfRule type="containsText" dxfId="18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15240</xdr:rowOff>
                  </from>
                  <to>
                    <xdr:col>2</xdr:col>
                    <xdr:colOff>1280160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1280160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AW30"/>
  <sheetViews>
    <sheetView workbookViewId="0">
      <selection activeCell="K22" sqref="K22"/>
    </sheetView>
  </sheetViews>
  <sheetFormatPr defaultColWidth="8.77734375" defaultRowHeight="14.4" x14ac:dyDescent="0.3"/>
  <cols>
    <col min="3" max="3" width="19.33203125" customWidth="1"/>
    <col min="4" max="5" width="7.6640625" bestFit="1" customWidth="1"/>
    <col min="6" max="6" width="26.109375" bestFit="1" customWidth="1"/>
    <col min="7" max="7" width="5.77734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3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664062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664062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3" width="7.6640625" bestFit="1" customWidth="1"/>
    <col min="34" max="34" width="8.44140625" customWidth="1"/>
    <col min="35" max="35" width="5.66406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664062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22</v>
      </c>
      <c r="C7" s="149"/>
    </row>
    <row r="8" spans="2:49" ht="15" thickBot="1" x14ac:dyDescent="0.35">
      <c r="B8" s="150"/>
      <c r="C8" s="151"/>
      <c r="D8" s="152" t="s">
        <v>65</v>
      </c>
      <c r="E8" s="153"/>
      <c r="F8" s="153"/>
      <c r="G8" s="153"/>
      <c r="H8" s="153"/>
      <c r="I8" s="153"/>
      <c r="J8" s="154"/>
      <c r="K8" s="152" t="s">
        <v>66</v>
      </c>
      <c r="L8" s="153"/>
      <c r="M8" s="153"/>
      <c r="N8" s="153"/>
      <c r="O8" s="153"/>
      <c r="P8" s="153"/>
      <c r="Q8" s="154"/>
      <c r="R8" s="152" t="s">
        <v>83</v>
      </c>
      <c r="S8" s="153"/>
      <c r="T8" s="153"/>
      <c r="U8" s="153"/>
      <c r="V8" s="153"/>
      <c r="W8" s="153"/>
      <c r="X8" s="154"/>
      <c r="Y8" s="152" t="s">
        <v>68</v>
      </c>
      <c r="Z8" s="153"/>
      <c r="AA8" s="153"/>
      <c r="AB8" s="153"/>
      <c r="AC8" s="153"/>
      <c r="AD8" s="153"/>
      <c r="AE8" s="154"/>
      <c r="AF8" s="152" t="s">
        <v>69</v>
      </c>
      <c r="AG8" s="153"/>
      <c r="AH8" s="153"/>
      <c r="AI8" s="153"/>
      <c r="AJ8" s="153"/>
      <c r="AK8" s="153"/>
      <c r="AL8" s="154"/>
      <c r="AM8" s="152" t="s">
        <v>70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17</v>
      </c>
      <c r="E10" s="48">
        <v>16</v>
      </c>
      <c r="F10" s="48">
        <v>32</v>
      </c>
      <c r="G10" s="48">
        <f t="shared" ref="G10:G19" si="0">SUM(D10:F10)</f>
        <v>65</v>
      </c>
      <c r="H10" s="104">
        <f>G10/100</f>
        <v>0.65</v>
      </c>
      <c r="I10" s="48" t="str">
        <f>LOOKUP(H10,'Semester 1'!$I$24:$I$28,'Semester 1'!$N$24:$N$28)</f>
        <v>C</v>
      </c>
      <c r="J10" s="48" t="str">
        <f>IF(G10&gt;=80,"4",IF(G10&gt;=70,"3",IF(G10&gt;=60,"2",IF(G10&gt;=50,"1",IF(G10&lt;50,"0")))))</f>
        <v>2</v>
      </c>
      <c r="K10" s="48">
        <v>13</v>
      </c>
      <c r="L10" s="48">
        <v>19</v>
      </c>
      <c r="M10" s="48">
        <v>36</v>
      </c>
      <c r="N10" s="48">
        <f t="shared" ref="N10:N19" si="1">SUM(K10:M10)</f>
        <v>68</v>
      </c>
      <c r="O10" s="104">
        <f t="shared" ref="O10:O19" si="2">N10/100</f>
        <v>0.68</v>
      </c>
      <c r="P10" s="48" t="str">
        <f>LOOKUP(O10,'Semester 1'!$I$24:$I$28,'Semester 1'!$N$24:$N$28)</f>
        <v>C</v>
      </c>
      <c r="Q10" s="48" t="str">
        <f>IF(N10&gt;=80,"4",IF(N10&gt;=70,"3",IF(N10&gt;=60,"2",IF(N10&gt;=50,"1",IF(N10&lt;50,"0")))))</f>
        <v>2</v>
      </c>
      <c r="R10" s="48">
        <v>17</v>
      </c>
      <c r="S10" s="48">
        <v>15</v>
      </c>
      <c r="T10" s="48">
        <v>39</v>
      </c>
      <c r="U10" s="48">
        <f t="shared" ref="U10:U19" si="3">SUM(R10:T10)</f>
        <v>71</v>
      </c>
      <c r="V10" s="104">
        <f t="shared" ref="V10:V19" si="4">U10/100</f>
        <v>0.71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17</v>
      </c>
      <c r="Z10" s="48">
        <v>17</v>
      </c>
      <c r="AA10" s="48">
        <v>34</v>
      </c>
      <c r="AB10" s="48">
        <f t="shared" ref="AB10:AB19" si="5">SUM(Y10:AA10)</f>
        <v>68</v>
      </c>
      <c r="AC10" s="104">
        <f t="shared" ref="AC10:AC19" si="6">AB10/100</f>
        <v>0.68</v>
      </c>
      <c r="AD10" s="48" t="str">
        <f>LOOKUP(AC10,'Semester 1'!$I$24:$I$28,'Semester 1'!$N$24:$N$28)</f>
        <v>C</v>
      </c>
      <c r="AE10" s="48" t="str">
        <f>IF(AB10&gt;=80,"4",IF(AB10&gt;=70,"3",IF(AB10&gt;=60,"2",IF(AB10&gt;=50,"1",IF(AB10&lt;50,"0")))))</f>
        <v>2</v>
      </c>
      <c r="AF10" s="48">
        <v>16</v>
      </c>
      <c r="AG10" s="48">
        <v>21</v>
      </c>
      <c r="AH10" s="48">
        <v>34</v>
      </c>
      <c r="AI10" s="48">
        <f t="shared" ref="AI10:AI19" si="7">SUM(AF10:AH10)</f>
        <v>71</v>
      </c>
      <c r="AJ10" s="104">
        <f t="shared" ref="AJ10:AJ19" si="8">AI10/100</f>
        <v>0.71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v>11</v>
      </c>
      <c r="AN10" s="48">
        <v>18</v>
      </c>
      <c r="AO10" s="48">
        <v>34</v>
      </c>
      <c r="AP10" s="48">
        <f t="shared" ref="AP10:AP19" si="9">SUM(AM10:AO10)</f>
        <v>63</v>
      </c>
      <c r="AQ10" s="104">
        <f t="shared" ref="AQ10:AQ19" si="10">AP10/100</f>
        <v>0.63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f>J10*$G$24+Q10*$G$25+X10*$G$26+AE10*$G$27+AL10*$G$28+AS10*$G$29</f>
        <v>42</v>
      </c>
      <c r="AU10" s="48">
        <f>AT10/$G$30</f>
        <v>2.3333333333333335</v>
      </c>
      <c r="AV10" s="48">
        <f>AVERAGE(AU10,'Semester 1'!AN10,'Semester 2'!AN10,'Semester 3'!AN10,'Semester 4'!AU10,'Semester 5'!AU10,'Semester 6'!BB10)</f>
        <v>3.1882086167800452</v>
      </c>
      <c r="AW10" s="48" t="str">
        <f>IF(LARGE($AU$10:$AU$19,1)=AU10,"First",IF(LARGE($AU$10:$AU$19,2)=AU10,"Second",IF(LARGE($AU$10:$AU$19,3)=AU10,"Third","")))</f>
        <v/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17</v>
      </c>
      <c r="E11" s="48">
        <v>21</v>
      </c>
      <c r="F11" s="48">
        <v>34</v>
      </c>
      <c r="G11" s="48">
        <f t="shared" si="0"/>
        <v>72</v>
      </c>
      <c r="H11" s="104">
        <f t="shared" ref="H11:H19" si="11">G11/100</f>
        <v>0.72</v>
      </c>
      <c r="I11" s="48" t="str">
        <f>LOOKUP(H11,'Semester 1'!$I$24:$I$28,'Semester 1'!$N$24:$N$28)</f>
        <v>B</v>
      </c>
      <c r="J11" s="48" t="str">
        <f t="shared" ref="J11:J19" si="12">IF(G11&gt;=80,"4",IF(G11&gt;=70,"3",IF(G11&gt;=60,"2",IF(G11&gt;=50,"1",IF(G11&lt;50,"0")))))</f>
        <v>3</v>
      </c>
      <c r="K11" s="48">
        <v>13</v>
      </c>
      <c r="L11" s="48">
        <v>19</v>
      </c>
      <c r="M11" s="48">
        <v>45</v>
      </c>
      <c r="N11" s="48">
        <f t="shared" si="1"/>
        <v>77</v>
      </c>
      <c r="O11" s="104">
        <f t="shared" si="2"/>
        <v>0.77</v>
      </c>
      <c r="P11" s="48" t="str">
        <f>LOOKUP(O11,'Semester 1'!$I$24:$I$28,'Semester 1'!$N$24:$N$28)</f>
        <v>B</v>
      </c>
      <c r="Q11" s="48" t="str">
        <f t="shared" ref="Q11:Q19" si="13">IF(N11&gt;=80,"4",IF(N11&gt;=70,"3",IF(N11&gt;=60,"2",IF(N11&gt;=50,"1",IF(N11&lt;50,"0")))))</f>
        <v>3</v>
      </c>
      <c r="R11" s="48">
        <v>18</v>
      </c>
      <c r="S11" s="48">
        <v>20</v>
      </c>
      <c r="T11" s="48">
        <v>37</v>
      </c>
      <c r="U11" s="48">
        <f t="shared" si="3"/>
        <v>75</v>
      </c>
      <c r="V11" s="104">
        <f t="shared" si="4"/>
        <v>0.75</v>
      </c>
      <c r="W11" s="48" t="str">
        <f>LOOKUP(V11,'Semester 1'!$I$24:$I$28,'Semester 1'!$N$24:$N$28)</f>
        <v>B</v>
      </c>
      <c r="X11" s="48" t="str">
        <f t="shared" ref="X11:X19" si="14">IF(U11&gt;=80,"4",IF(U11&gt;=70,"3",IF(U11&gt;=60,"2",IF(U11&gt;=50,"1",IF(U11&lt;50,"0")))))</f>
        <v>3</v>
      </c>
      <c r="Y11" s="48">
        <v>17</v>
      </c>
      <c r="Z11" s="48">
        <v>16</v>
      </c>
      <c r="AA11" s="48">
        <v>35</v>
      </c>
      <c r="AB11" s="48">
        <f t="shared" si="5"/>
        <v>68</v>
      </c>
      <c r="AC11" s="104">
        <f t="shared" si="6"/>
        <v>0.68</v>
      </c>
      <c r="AD11" s="48" t="str">
        <f>LOOKUP(AC11,'Semester 1'!$I$24:$I$28,'Semester 1'!$N$24:$N$28)</f>
        <v>C</v>
      </c>
      <c r="AE11" s="48" t="str">
        <f t="shared" ref="AE11:AE19" si="15">IF(AB11&gt;=80,"4",IF(AB11&gt;=70,"3",IF(AB11&gt;=60,"2",IF(AB11&gt;=50,"1",IF(AB11&lt;50,"0")))))</f>
        <v>2</v>
      </c>
      <c r="AF11" s="48">
        <v>22</v>
      </c>
      <c r="AG11" s="48">
        <v>12</v>
      </c>
      <c r="AH11" s="48">
        <v>34</v>
      </c>
      <c r="AI11" s="48">
        <f t="shared" si="7"/>
        <v>68</v>
      </c>
      <c r="AJ11" s="104">
        <f t="shared" si="8"/>
        <v>0.68</v>
      </c>
      <c r="AK11" s="48" t="str">
        <f>LOOKUP(AJ11,'Semester 1'!$I$24:$I$28,'Semester 1'!$N$24:$N$28)</f>
        <v>C</v>
      </c>
      <c r="AL11" s="48" t="str">
        <f t="shared" ref="AL11:AL18" si="16">IF(AI11&gt;=80,"4",IF(AI11&gt;=70,"3",IF(AI11&gt;=60,"2",IF(AI11&gt;=50,"1",IF(AI11&lt;50,"0")))))</f>
        <v>2</v>
      </c>
      <c r="AM11" s="48">
        <v>13</v>
      </c>
      <c r="AN11" s="48">
        <v>17</v>
      </c>
      <c r="AO11" s="48">
        <v>32</v>
      </c>
      <c r="AP11" s="48">
        <f t="shared" si="9"/>
        <v>62</v>
      </c>
      <c r="AQ11" s="104">
        <f t="shared" si="10"/>
        <v>0.62</v>
      </c>
      <c r="AR11" s="48" t="str">
        <f>LOOKUP(AQ11,'Semester 1'!$I$24:$I$28,'Semester 1'!$N$24:$N$28)</f>
        <v>C</v>
      </c>
      <c r="AS11" s="48" t="str">
        <f t="shared" ref="AS11:AS19" si="17">IF(AP11&gt;=80,"4",IF(AP11&gt;=70,"3",IF(AP11&gt;=60,"2",IF(AP11&gt;=50,"1",IF(AP11&lt;50,"0")))))</f>
        <v>2</v>
      </c>
      <c r="AT11" s="48">
        <f t="shared" ref="AT11:AT19" si="18">J11*$G$24+Q11*$G$25+X11*$G$26+AE11*$G$27+AL11*$G$28+AS11*$G$29</f>
        <v>45</v>
      </c>
      <c r="AU11" s="48">
        <f t="shared" ref="AU11:AU19" si="19">AT11/$G$30</f>
        <v>2.5</v>
      </c>
      <c r="AV11" s="48">
        <f>AVERAGE(AU11,'Semester 1'!AN11,'Semester 2'!AN11,'Semester 3'!AN11,'Semester 4'!AU11,'Semester 5'!AU11,'Semester 6'!BB11)</f>
        <v>2.5392290249433107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21</v>
      </c>
      <c r="E12" s="48">
        <v>22</v>
      </c>
      <c r="F12" s="48">
        <v>38</v>
      </c>
      <c r="G12" s="48">
        <f t="shared" si="0"/>
        <v>81</v>
      </c>
      <c r="H12" s="104">
        <f t="shared" si="11"/>
        <v>0.81</v>
      </c>
      <c r="I12" s="48" t="str">
        <f>LOOKUP(H12,'Semester 1'!$I$24:$I$28,'Semester 1'!$N$24:$N$28)</f>
        <v>A</v>
      </c>
      <c r="J12" s="48" t="str">
        <f t="shared" si="12"/>
        <v>4</v>
      </c>
      <c r="K12" s="48">
        <v>18</v>
      </c>
      <c r="L12" s="48">
        <v>16</v>
      </c>
      <c r="M12" s="48">
        <v>38</v>
      </c>
      <c r="N12" s="48">
        <f t="shared" si="1"/>
        <v>72</v>
      </c>
      <c r="O12" s="104">
        <f t="shared" si="2"/>
        <v>0.72</v>
      </c>
      <c r="P12" s="48" t="str">
        <f>LOOKUP(O12,'Semester 1'!$I$24:$I$28,'Semester 1'!$N$24:$N$28)</f>
        <v>B</v>
      </c>
      <c r="Q12" s="48" t="str">
        <f t="shared" si="13"/>
        <v>3</v>
      </c>
      <c r="R12" s="48">
        <v>11</v>
      </c>
      <c r="S12" s="48">
        <v>20</v>
      </c>
      <c r="T12" s="48">
        <v>33</v>
      </c>
      <c r="U12" s="48">
        <f t="shared" si="3"/>
        <v>64</v>
      </c>
      <c r="V12" s="104">
        <f t="shared" si="4"/>
        <v>0.64</v>
      </c>
      <c r="W12" s="48" t="str">
        <f>LOOKUP(V12,'Semester 1'!$I$24:$I$28,'Semester 1'!$N$24:$N$28)</f>
        <v>C</v>
      </c>
      <c r="X12" s="48" t="str">
        <f t="shared" si="14"/>
        <v>2</v>
      </c>
      <c r="Y12" s="48">
        <v>22</v>
      </c>
      <c r="Z12" s="48">
        <v>21</v>
      </c>
      <c r="AA12" s="48">
        <v>32</v>
      </c>
      <c r="AB12" s="48">
        <f t="shared" si="5"/>
        <v>75</v>
      </c>
      <c r="AC12" s="104">
        <f t="shared" si="6"/>
        <v>0.75</v>
      </c>
      <c r="AD12" s="48" t="str">
        <f>LOOKUP(AC12,'Semester 1'!$I$24:$I$28,'Semester 1'!$N$24:$N$28)</f>
        <v>B</v>
      </c>
      <c r="AE12" s="48" t="str">
        <f t="shared" si="15"/>
        <v>3</v>
      </c>
      <c r="AF12" s="48">
        <v>16</v>
      </c>
      <c r="AG12" s="48">
        <v>18</v>
      </c>
      <c r="AH12" s="48">
        <v>35</v>
      </c>
      <c r="AI12" s="48">
        <f t="shared" si="7"/>
        <v>69</v>
      </c>
      <c r="AJ12" s="104">
        <f t="shared" si="8"/>
        <v>0.69</v>
      </c>
      <c r="AK12" s="48" t="str">
        <f>LOOKUP(AJ12,'Semester 1'!$I$24:$I$28,'Semester 1'!$N$24:$N$28)</f>
        <v>C</v>
      </c>
      <c r="AL12" s="48" t="str">
        <f t="shared" si="16"/>
        <v>2</v>
      </c>
      <c r="AM12" s="48">
        <v>21</v>
      </c>
      <c r="AN12" s="48">
        <v>12</v>
      </c>
      <c r="AO12" s="48">
        <v>33</v>
      </c>
      <c r="AP12" s="48">
        <f t="shared" si="9"/>
        <v>66</v>
      </c>
      <c r="AQ12" s="104">
        <f t="shared" si="10"/>
        <v>0.66</v>
      </c>
      <c r="AR12" s="48" t="str">
        <f>LOOKUP(AQ12,'Semester 1'!$I$24:$I$28,'Semester 1'!$N$24:$N$28)</f>
        <v>C</v>
      </c>
      <c r="AS12" s="48" t="str">
        <f t="shared" si="17"/>
        <v>2</v>
      </c>
      <c r="AT12" s="48">
        <f t="shared" si="18"/>
        <v>48</v>
      </c>
      <c r="AU12" s="48">
        <f t="shared" si="19"/>
        <v>2.6666666666666665</v>
      </c>
      <c r="AV12" s="48">
        <f>AVERAGE(AU12,'Semester 1'!AN12,'Semester 2'!AN12,'Semester 3'!AN12,'Semester 4'!AU12,'Semester 5'!AU12,'Semester 6'!BB12)</f>
        <v>2.4598639455782312</v>
      </c>
      <c r="AW12" s="48" t="str">
        <f t="shared" si="20"/>
        <v>Third</v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11</v>
      </c>
      <c r="E13" s="48">
        <v>20</v>
      </c>
      <c r="F13" s="48">
        <v>35</v>
      </c>
      <c r="G13" s="48">
        <f t="shared" si="0"/>
        <v>66</v>
      </c>
      <c r="H13" s="104">
        <f t="shared" si="11"/>
        <v>0.66</v>
      </c>
      <c r="I13" s="48" t="str">
        <f>LOOKUP(H13,'Semester 1'!$I$24:$I$28,'Semester 1'!$N$24:$N$28)</f>
        <v>C</v>
      </c>
      <c r="J13" s="48" t="str">
        <f t="shared" si="12"/>
        <v>2</v>
      </c>
      <c r="K13" s="48">
        <v>11</v>
      </c>
      <c r="L13" s="48">
        <v>22</v>
      </c>
      <c r="M13" s="48">
        <v>44</v>
      </c>
      <c r="N13" s="48">
        <f t="shared" si="1"/>
        <v>77</v>
      </c>
      <c r="O13" s="104">
        <f t="shared" si="2"/>
        <v>0.77</v>
      </c>
      <c r="P13" s="48" t="str">
        <f>LOOKUP(O13,'Semester 1'!$I$24:$I$28,'Semester 1'!$N$24:$N$28)</f>
        <v>B</v>
      </c>
      <c r="Q13" s="48" t="str">
        <f t="shared" si="13"/>
        <v>3</v>
      </c>
      <c r="R13" s="48">
        <v>16</v>
      </c>
      <c r="S13" s="48">
        <v>16</v>
      </c>
      <c r="T13" s="48">
        <v>39</v>
      </c>
      <c r="U13" s="48">
        <f t="shared" si="3"/>
        <v>71</v>
      </c>
      <c r="V13" s="104">
        <f t="shared" si="4"/>
        <v>0.71</v>
      </c>
      <c r="W13" s="48" t="str">
        <f>LOOKUP(V13,'Semester 1'!$I$24:$I$28,'Semester 1'!$N$24:$N$28)</f>
        <v>B</v>
      </c>
      <c r="X13" s="48" t="str">
        <f t="shared" si="14"/>
        <v>3</v>
      </c>
      <c r="Y13" s="48">
        <v>21</v>
      </c>
      <c r="Z13" s="48">
        <v>16</v>
      </c>
      <c r="AA13" s="48">
        <v>41</v>
      </c>
      <c r="AB13" s="48">
        <f t="shared" si="5"/>
        <v>78</v>
      </c>
      <c r="AC13" s="104">
        <f t="shared" si="6"/>
        <v>0.78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21</v>
      </c>
      <c r="AG13" s="48">
        <v>20</v>
      </c>
      <c r="AH13" s="48">
        <v>39</v>
      </c>
      <c r="AI13" s="48">
        <f t="shared" si="7"/>
        <v>80</v>
      </c>
      <c r="AJ13" s="104">
        <f t="shared" si="8"/>
        <v>0.8</v>
      </c>
      <c r="AK13" s="48" t="str">
        <f>LOOKUP(AJ13,'Semester 1'!$I$24:$I$28,'Semester 1'!$N$24:$N$28)</f>
        <v>A</v>
      </c>
      <c r="AL13" s="48" t="str">
        <f t="shared" si="16"/>
        <v>4</v>
      </c>
      <c r="AM13" s="48">
        <v>17</v>
      </c>
      <c r="AN13" s="48">
        <v>20</v>
      </c>
      <c r="AO13" s="48">
        <v>34</v>
      </c>
      <c r="AP13" s="48">
        <f t="shared" si="9"/>
        <v>71</v>
      </c>
      <c r="AQ13" s="104">
        <f t="shared" si="10"/>
        <v>0.71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54</v>
      </c>
      <c r="AU13" s="48">
        <f t="shared" si="19"/>
        <v>3</v>
      </c>
      <c r="AV13" s="48">
        <f>AVERAGE(AU13,'Semester 1'!AN13,'Semester 2'!AN13,'Semester 3'!AN13,'Semester 4'!AU13,'Semester 5'!AU13,'Semester 6'!BB13)</f>
        <v>2.8158730158730156</v>
      </c>
      <c r="AW13" s="48" t="str">
        <f t="shared" si="20"/>
        <v>First</v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11</v>
      </c>
      <c r="E14" s="48">
        <v>13</v>
      </c>
      <c r="F14" s="48">
        <v>36</v>
      </c>
      <c r="G14" s="48">
        <f t="shared" si="0"/>
        <v>60</v>
      </c>
      <c r="H14" s="104">
        <f t="shared" si="11"/>
        <v>0.6</v>
      </c>
      <c r="I14" s="48" t="str">
        <f>LOOKUP(H14,'Semester 1'!$I$24:$I$28,'Semester 1'!$N$24:$N$28)</f>
        <v>C</v>
      </c>
      <c r="J14" s="48" t="str">
        <f t="shared" si="12"/>
        <v>2</v>
      </c>
      <c r="K14" s="48">
        <v>13</v>
      </c>
      <c r="L14" s="48">
        <v>22</v>
      </c>
      <c r="M14" s="48">
        <v>36</v>
      </c>
      <c r="N14" s="48">
        <f t="shared" si="1"/>
        <v>71</v>
      </c>
      <c r="O14" s="104">
        <f t="shared" si="2"/>
        <v>0.71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16</v>
      </c>
      <c r="S14" s="48">
        <v>17</v>
      </c>
      <c r="T14" s="48">
        <v>37</v>
      </c>
      <c r="U14" s="48">
        <f t="shared" si="3"/>
        <v>70</v>
      </c>
      <c r="V14" s="104">
        <f t="shared" si="4"/>
        <v>0.7</v>
      </c>
      <c r="W14" s="48" t="str">
        <f>LOOKUP(V14,'Semester 1'!$I$24:$I$28,'Semester 1'!$N$24:$N$28)</f>
        <v>B</v>
      </c>
      <c r="X14" s="48" t="str">
        <f t="shared" si="14"/>
        <v>3</v>
      </c>
      <c r="Y14" s="48">
        <v>18</v>
      </c>
      <c r="Z14" s="48">
        <v>11</v>
      </c>
      <c r="AA14" s="48">
        <v>34</v>
      </c>
      <c r="AB14" s="48">
        <f t="shared" si="5"/>
        <v>63</v>
      </c>
      <c r="AC14" s="104">
        <f t="shared" si="6"/>
        <v>0.63</v>
      </c>
      <c r="AD14" s="48" t="str">
        <f>LOOKUP(AC14,'Semester 1'!$I$24:$I$28,'Semester 1'!$N$24:$N$28)</f>
        <v>C</v>
      </c>
      <c r="AE14" s="48" t="str">
        <f t="shared" si="15"/>
        <v>2</v>
      </c>
      <c r="AF14" s="48">
        <v>11</v>
      </c>
      <c r="AG14" s="48">
        <v>19</v>
      </c>
      <c r="AH14" s="48">
        <v>36</v>
      </c>
      <c r="AI14" s="48">
        <f t="shared" si="7"/>
        <v>66</v>
      </c>
      <c r="AJ14" s="104">
        <f t="shared" si="8"/>
        <v>0.66</v>
      </c>
      <c r="AK14" s="48" t="str">
        <f>LOOKUP(AJ14,'Semester 1'!$I$24:$I$28,'Semester 1'!$N$24:$N$28)</f>
        <v>C</v>
      </c>
      <c r="AL14" s="48" t="str">
        <f t="shared" si="16"/>
        <v>2</v>
      </c>
      <c r="AM14" s="48">
        <v>18</v>
      </c>
      <c r="AN14" s="48">
        <v>17</v>
      </c>
      <c r="AO14" s="48">
        <v>41</v>
      </c>
      <c r="AP14" s="48">
        <f t="shared" si="9"/>
        <v>76</v>
      </c>
      <c r="AQ14" s="104">
        <f t="shared" si="10"/>
        <v>0.76</v>
      </c>
      <c r="AR14" s="48" t="str">
        <f>LOOKUP(AQ14,'Semester 1'!$I$24:$I$28,'Semester 1'!$N$24:$N$28)</f>
        <v>B</v>
      </c>
      <c r="AS14" s="48" t="str">
        <f t="shared" si="17"/>
        <v>3</v>
      </c>
      <c r="AT14" s="48">
        <f t="shared" si="18"/>
        <v>45</v>
      </c>
      <c r="AU14" s="48">
        <f t="shared" si="19"/>
        <v>2.5</v>
      </c>
      <c r="AV14" s="48">
        <f>AVERAGE(AU14,'Semester 1'!AN14,'Semester 2'!AN14,'Semester 3'!AN14,'Semester 4'!AU14,'Semester 5'!AU14,'Semester 6'!BB14)</f>
        <v>2.5301587301587305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13</v>
      </c>
      <c r="E15" s="48">
        <v>18</v>
      </c>
      <c r="F15" s="48">
        <v>32</v>
      </c>
      <c r="G15" s="48">
        <f t="shared" si="0"/>
        <v>63</v>
      </c>
      <c r="H15" s="104">
        <f t="shared" si="11"/>
        <v>0.63</v>
      </c>
      <c r="I15" s="48" t="str">
        <f>LOOKUP(H15,'Semester 1'!$I$24:$I$28,'Semester 1'!$N$24:$N$28)</f>
        <v>C</v>
      </c>
      <c r="J15" s="48" t="str">
        <f t="shared" si="12"/>
        <v>2</v>
      </c>
      <c r="K15" s="48">
        <v>15</v>
      </c>
      <c r="L15" s="48">
        <v>14</v>
      </c>
      <c r="M15" s="48">
        <v>36</v>
      </c>
      <c r="N15" s="48">
        <f t="shared" si="1"/>
        <v>65</v>
      </c>
      <c r="O15" s="104">
        <f t="shared" si="2"/>
        <v>0.65</v>
      </c>
      <c r="P15" s="48" t="str">
        <f>LOOKUP(O15,'Semester 1'!$I$24:$I$28,'Semester 1'!$N$24:$N$28)</f>
        <v>C</v>
      </c>
      <c r="Q15" s="48" t="str">
        <f t="shared" si="13"/>
        <v>2</v>
      </c>
      <c r="R15" s="48">
        <v>15</v>
      </c>
      <c r="S15" s="48">
        <v>18</v>
      </c>
      <c r="T15" s="48">
        <v>38</v>
      </c>
      <c r="U15" s="48">
        <f t="shared" si="3"/>
        <v>71</v>
      </c>
      <c r="V15" s="104">
        <f t="shared" si="4"/>
        <v>0.71</v>
      </c>
      <c r="W15" s="48" t="str">
        <f>LOOKUP(V15,'Semester 1'!$I$24:$I$28,'Semester 1'!$N$24:$N$28)</f>
        <v>B</v>
      </c>
      <c r="X15" s="48" t="str">
        <f t="shared" si="14"/>
        <v>3</v>
      </c>
      <c r="Y15" s="48">
        <v>11</v>
      </c>
      <c r="Z15" s="48">
        <v>21</v>
      </c>
      <c r="AA15" s="48">
        <v>41</v>
      </c>
      <c r="AB15" s="48">
        <f t="shared" si="5"/>
        <v>73</v>
      </c>
      <c r="AC15" s="104">
        <f t="shared" si="6"/>
        <v>0.73</v>
      </c>
      <c r="AD15" s="48" t="str">
        <f>LOOKUP(AC15,'Semester 1'!$I$24:$I$28,'Semester 1'!$N$24:$N$28)</f>
        <v>B</v>
      </c>
      <c r="AE15" s="48" t="str">
        <f t="shared" si="15"/>
        <v>3</v>
      </c>
      <c r="AF15" s="48">
        <v>19</v>
      </c>
      <c r="AG15" s="48">
        <v>11</v>
      </c>
      <c r="AH15" s="48">
        <v>32</v>
      </c>
      <c r="AI15" s="48">
        <f t="shared" si="7"/>
        <v>62</v>
      </c>
      <c r="AJ15" s="104">
        <f t="shared" si="8"/>
        <v>0.62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17</v>
      </c>
      <c r="AN15" s="48">
        <v>19</v>
      </c>
      <c r="AO15" s="48">
        <v>32</v>
      </c>
      <c r="AP15" s="48">
        <f t="shared" si="9"/>
        <v>68</v>
      </c>
      <c r="AQ15" s="104">
        <f t="shared" si="10"/>
        <v>0.68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42</v>
      </c>
      <c r="AU15" s="48">
        <f t="shared" si="19"/>
        <v>2.3333333333333335</v>
      </c>
      <c r="AV15" s="48">
        <f>AVERAGE(AU15,'Semester 1'!AN15,'Semester 2'!AN15,'Semester 3'!AN15,'Semester 4'!AU15,'Semester 5'!AU15,'Semester 6'!BB15)</f>
        <v>2.2034013605442175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12</v>
      </c>
      <c r="E16" s="48">
        <v>11</v>
      </c>
      <c r="F16" s="48">
        <v>32</v>
      </c>
      <c r="G16" s="48">
        <f t="shared" si="0"/>
        <v>55</v>
      </c>
      <c r="H16" s="104">
        <f t="shared" si="11"/>
        <v>0.55000000000000004</v>
      </c>
      <c r="I16" s="48" t="str">
        <f>LOOKUP(H16,'Semester 1'!$I$24:$I$28,'Semester 1'!$N$24:$N$28)</f>
        <v>D</v>
      </c>
      <c r="J16" s="48" t="str">
        <f t="shared" si="12"/>
        <v>1</v>
      </c>
      <c r="K16" s="48">
        <v>22</v>
      </c>
      <c r="L16" s="48">
        <v>15</v>
      </c>
      <c r="M16" s="48">
        <v>38</v>
      </c>
      <c r="N16" s="48">
        <f t="shared" si="1"/>
        <v>75</v>
      </c>
      <c r="O16" s="104">
        <f t="shared" si="2"/>
        <v>0.75</v>
      </c>
      <c r="P16" s="48" t="str">
        <f>LOOKUP(O16,'Semester 1'!$I$24:$I$28,'Semester 1'!$N$24:$N$28)</f>
        <v>B</v>
      </c>
      <c r="Q16" s="48" t="str">
        <f t="shared" si="13"/>
        <v>3</v>
      </c>
      <c r="R16" s="48">
        <v>16</v>
      </c>
      <c r="S16" s="48">
        <v>11</v>
      </c>
      <c r="T16" s="48">
        <v>43</v>
      </c>
      <c r="U16" s="48">
        <f t="shared" si="3"/>
        <v>70</v>
      </c>
      <c r="V16" s="104">
        <f t="shared" si="4"/>
        <v>0.7</v>
      </c>
      <c r="W16" s="48" t="str">
        <f>LOOKUP(V16,'Semester 1'!$I$24:$I$28,'Semester 1'!$N$24:$N$28)</f>
        <v>B</v>
      </c>
      <c r="X16" s="48" t="str">
        <f t="shared" si="14"/>
        <v>3</v>
      </c>
      <c r="Y16" s="48">
        <v>13</v>
      </c>
      <c r="Z16" s="48">
        <v>11</v>
      </c>
      <c r="AA16" s="48">
        <v>35</v>
      </c>
      <c r="AB16" s="48">
        <f t="shared" si="5"/>
        <v>59</v>
      </c>
      <c r="AC16" s="104">
        <f t="shared" si="6"/>
        <v>0.59</v>
      </c>
      <c r="AD16" s="48" t="str">
        <f>LOOKUP(AC16,'Semester 1'!$I$24:$I$28,'Semester 1'!$N$24:$N$28)</f>
        <v>D</v>
      </c>
      <c r="AE16" s="48" t="str">
        <f t="shared" si="15"/>
        <v>1</v>
      </c>
      <c r="AF16" s="48">
        <v>15</v>
      </c>
      <c r="AG16" s="48">
        <v>13</v>
      </c>
      <c r="AH16" s="48">
        <v>39</v>
      </c>
      <c r="AI16" s="48">
        <f t="shared" si="7"/>
        <v>67</v>
      </c>
      <c r="AJ16" s="104">
        <f t="shared" si="8"/>
        <v>0.67</v>
      </c>
      <c r="AK16" s="48" t="str">
        <f>LOOKUP(AJ16,'Semester 1'!$I$24:$I$28,'Semester 1'!$N$24:$N$28)</f>
        <v>C</v>
      </c>
      <c r="AL16" s="48" t="str">
        <f t="shared" si="16"/>
        <v>2</v>
      </c>
      <c r="AM16" s="48">
        <v>20</v>
      </c>
      <c r="AN16" s="48">
        <v>16</v>
      </c>
      <c r="AO16" s="48">
        <v>40</v>
      </c>
      <c r="AP16" s="48">
        <f t="shared" si="9"/>
        <v>76</v>
      </c>
      <c r="AQ16" s="104">
        <f t="shared" si="10"/>
        <v>0.76</v>
      </c>
      <c r="AR16" s="48" t="str">
        <f>LOOKUP(AQ16,'Semester 1'!$I$24:$I$28,'Semester 1'!$N$24:$N$28)</f>
        <v>B</v>
      </c>
      <c r="AS16" s="48" t="str">
        <f t="shared" si="17"/>
        <v>3</v>
      </c>
      <c r="AT16" s="48">
        <f t="shared" si="18"/>
        <v>39</v>
      </c>
      <c r="AU16" s="48">
        <f t="shared" si="19"/>
        <v>2.1666666666666665</v>
      </c>
      <c r="AV16" s="48">
        <f>AVERAGE(AU16,'Semester 1'!AN16,'Semester 2'!AN16,'Semester 3'!AN16,'Semester 4'!AU16,'Semester 5'!AU16,'Semester 6'!BB16)</f>
        <v>2.2693877551020405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14</v>
      </c>
      <c r="E17" s="48">
        <v>15</v>
      </c>
      <c r="F17" s="48">
        <v>33</v>
      </c>
      <c r="G17" s="48">
        <f t="shared" si="0"/>
        <v>62</v>
      </c>
      <c r="H17" s="104">
        <f t="shared" si="11"/>
        <v>0.62</v>
      </c>
      <c r="I17" s="48" t="str">
        <f>LOOKUP(H17,'Semester 1'!$I$24:$I$28,'Semester 1'!$N$24:$N$28)</f>
        <v>C</v>
      </c>
      <c r="J17" s="48" t="str">
        <f t="shared" si="12"/>
        <v>2</v>
      </c>
      <c r="K17" s="48">
        <v>18</v>
      </c>
      <c r="L17" s="48">
        <v>12</v>
      </c>
      <c r="M17" s="48">
        <v>42</v>
      </c>
      <c r="N17" s="48">
        <f t="shared" si="1"/>
        <v>72</v>
      </c>
      <c r="O17" s="104">
        <f t="shared" si="2"/>
        <v>0.72</v>
      </c>
      <c r="P17" s="48" t="str">
        <f>LOOKUP(O17,'Semester 1'!$I$24:$I$28,'Semester 1'!$N$24:$N$28)</f>
        <v>B</v>
      </c>
      <c r="Q17" s="48" t="str">
        <f t="shared" si="13"/>
        <v>3</v>
      </c>
      <c r="R17" s="48">
        <v>15</v>
      </c>
      <c r="S17" s="48">
        <v>15</v>
      </c>
      <c r="T17" s="48">
        <v>35</v>
      </c>
      <c r="U17" s="48">
        <f t="shared" si="3"/>
        <v>65</v>
      </c>
      <c r="V17" s="104">
        <f t="shared" si="4"/>
        <v>0.65</v>
      </c>
      <c r="W17" s="48" t="str">
        <f>LOOKUP(V17,'Semester 1'!$I$24:$I$28,'Semester 1'!$N$24:$N$28)</f>
        <v>C</v>
      </c>
      <c r="X17" s="48" t="str">
        <f t="shared" si="14"/>
        <v>2</v>
      </c>
      <c r="Y17" s="48">
        <v>19</v>
      </c>
      <c r="Z17" s="48">
        <v>12</v>
      </c>
      <c r="AA17" s="48">
        <v>36</v>
      </c>
      <c r="AB17" s="48">
        <f t="shared" si="5"/>
        <v>67</v>
      </c>
      <c r="AC17" s="104">
        <f t="shared" si="6"/>
        <v>0.67</v>
      </c>
      <c r="AD17" s="48" t="str">
        <f>LOOKUP(AC17,'Semester 1'!$I$24:$I$28,'Semester 1'!$N$24:$N$28)</f>
        <v>C</v>
      </c>
      <c r="AE17" s="48" t="str">
        <f t="shared" si="15"/>
        <v>2</v>
      </c>
      <c r="AF17" s="48">
        <v>21</v>
      </c>
      <c r="AG17" s="48">
        <v>14</v>
      </c>
      <c r="AH17" s="48">
        <v>38</v>
      </c>
      <c r="AI17" s="48">
        <f t="shared" si="7"/>
        <v>73</v>
      </c>
      <c r="AJ17" s="104">
        <f t="shared" si="8"/>
        <v>0.73</v>
      </c>
      <c r="AK17" s="48" t="str">
        <f>LOOKUP(AJ17,'Semester 1'!$I$24:$I$28,'Semester 1'!$N$24:$N$28)</f>
        <v>B</v>
      </c>
      <c r="AL17" s="48" t="str">
        <f t="shared" si="16"/>
        <v>3</v>
      </c>
      <c r="AM17" s="48">
        <v>15</v>
      </c>
      <c r="AN17" s="48">
        <v>15</v>
      </c>
      <c r="AO17" s="48">
        <v>35</v>
      </c>
      <c r="AP17" s="48">
        <f t="shared" si="9"/>
        <v>65</v>
      </c>
      <c r="AQ17" s="104">
        <f t="shared" si="10"/>
        <v>0.65</v>
      </c>
      <c r="AR17" s="48" t="str">
        <f>LOOKUP(AQ17,'Semester 1'!$I$24:$I$28,'Semester 1'!$N$24:$N$28)</f>
        <v>C</v>
      </c>
      <c r="AS17" s="48" t="str">
        <f t="shared" si="17"/>
        <v>2</v>
      </c>
      <c r="AT17" s="48">
        <f t="shared" si="18"/>
        <v>42</v>
      </c>
      <c r="AU17" s="48">
        <f t="shared" si="19"/>
        <v>2.3333333333333335</v>
      </c>
      <c r="AV17" s="48">
        <f>AVERAGE(AU17,'Semester 1'!AN17,'Semester 2'!AN17,'Semester 3'!AN17,'Semester 4'!AU17,'Semester 5'!AU17,'Semester 6'!BB17)</f>
        <v>2.3353741496598639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18</v>
      </c>
      <c r="F18" s="48">
        <v>35</v>
      </c>
      <c r="G18" s="48">
        <f t="shared" si="0"/>
        <v>71</v>
      </c>
      <c r="H18" s="104">
        <f t="shared" si="11"/>
        <v>0.71</v>
      </c>
      <c r="I18" s="48" t="str">
        <f>LOOKUP(H18,'Semester 1'!$I$24:$I$28,'Semester 1'!$N$24:$N$28)</f>
        <v>B</v>
      </c>
      <c r="J18" s="48" t="str">
        <f t="shared" si="12"/>
        <v>3</v>
      </c>
      <c r="K18" s="48">
        <v>20</v>
      </c>
      <c r="L18" s="48">
        <v>18</v>
      </c>
      <c r="M18" s="48">
        <v>39</v>
      </c>
      <c r="N18" s="48">
        <f t="shared" si="1"/>
        <v>77</v>
      </c>
      <c r="O18" s="104">
        <f t="shared" si="2"/>
        <v>0.77</v>
      </c>
      <c r="P18" s="48" t="str">
        <f>LOOKUP(O18,'Semester 1'!$I$24:$I$28,'Semester 1'!$N$24:$N$28)</f>
        <v>B</v>
      </c>
      <c r="Q18" s="48" t="str">
        <f t="shared" si="13"/>
        <v>3</v>
      </c>
      <c r="R18" s="48">
        <v>12</v>
      </c>
      <c r="S18" s="48">
        <v>11</v>
      </c>
      <c r="T18" s="48">
        <v>33</v>
      </c>
      <c r="U18" s="48">
        <f t="shared" si="3"/>
        <v>56</v>
      </c>
      <c r="V18" s="104">
        <f t="shared" si="4"/>
        <v>0.56000000000000005</v>
      </c>
      <c r="W18" s="48" t="str">
        <f>LOOKUP(V18,'Semester 1'!$I$24:$I$28,'Semester 1'!$N$24:$N$28)</f>
        <v>D</v>
      </c>
      <c r="X18" s="48" t="str">
        <f t="shared" si="14"/>
        <v>1</v>
      </c>
      <c r="Y18" s="48">
        <v>21</v>
      </c>
      <c r="Z18" s="48">
        <v>18</v>
      </c>
      <c r="AA18" s="48">
        <v>39</v>
      </c>
      <c r="AB18" s="48">
        <f t="shared" si="5"/>
        <v>78</v>
      </c>
      <c r="AC18" s="104">
        <f t="shared" si="6"/>
        <v>0.78</v>
      </c>
      <c r="AD18" s="48" t="str">
        <f>LOOKUP(AC18,'Semester 1'!$I$24:$I$28,'Semester 1'!$N$24:$N$28)</f>
        <v>B</v>
      </c>
      <c r="AE18" s="48" t="str">
        <f t="shared" si="15"/>
        <v>3</v>
      </c>
      <c r="AF18" s="48">
        <v>20</v>
      </c>
      <c r="AG18" s="48">
        <v>13</v>
      </c>
      <c r="AH18" s="48">
        <v>31</v>
      </c>
      <c r="AI18" s="48">
        <f t="shared" si="7"/>
        <v>64</v>
      </c>
      <c r="AJ18" s="104">
        <f t="shared" si="8"/>
        <v>0.64</v>
      </c>
      <c r="AK18" s="48" t="str">
        <f>LOOKUP(AJ18,'Semester 1'!$I$24:$I$28,'Semester 1'!$N$24:$N$28)</f>
        <v>C</v>
      </c>
      <c r="AL18" s="48" t="str">
        <f t="shared" si="16"/>
        <v>2</v>
      </c>
      <c r="AM18" s="48">
        <v>16</v>
      </c>
      <c r="AN18" s="48">
        <v>11</v>
      </c>
      <c r="AO18" s="48">
        <v>36</v>
      </c>
      <c r="AP18" s="48">
        <f t="shared" si="9"/>
        <v>63</v>
      </c>
      <c r="AQ18" s="104">
        <f t="shared" si="10"/>
        <v>0.63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42</v>
      </c>
      <c r="AU18" s="48">
        <f t="shared" si="19"/>
        <v>2.3333333333333335</v>
      </c>
      <c r="AV18" s="48">
        <f>AVERAGE(AU18,'Semester 1'!AN18,'Semester 2'!AN18,'Semester 3'!AN18,'Semester 4'!AU18,'Semester 5'!AU18,'Semester 6'!BB18)</f>
        <v>2.3727891156462584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22</v>
      </c>
      <c r="E19" s="89">
        <v>18</v>
      </c>
      <c r="F19" s="89">
        <v>38</v>
      </c>
      <c r="G19" s="89">
        <f t="shared" si="0"/>
        <v>78</v>
      </c>
      <c r="H19" s="105">
        <f t="shared" si="11"/>
        <v>0.78</v>
      </c>
      <c r="I19" s="89" t="str">
        <f>LOOKUP(H19,'Semester 1'!$I$24:$I$28,'Semester 1'!$N$24:$N$28)</f>
        <v>B</v>
      </c>
      <c r="J19" s="89" t="str">
        <f t="shared" si="12"/>
        <v>3</v>
      </c>
      <c r="K19" s="89">
        <v>12</v>
      </c>
      <c r="L19" s="89">
        <v>18</v>
      </c>
      <c r="M19" s="89">
        <v>31</v>
      </c>
      <c r="N19" s="89">
        <f t="shared" si="1"/>
        <v>61</v>
      </c>
      <c r="O19" s="105">
        <f t="shared" si="2"/>
        <v>0.61</v>
      </c>
      <c r="P19" s="89" t="str">
        <f>LOOKUP(O19,'Semester 1'!$I$24:$I$28,'Semester 1'!$N$24:$N$28)</f>
        <v>C</v>
      </c>
      <c r="Q19" s="89" t="str">
        <f t="shared" si="13"/>
        <v>2</v>
      </c>
      <c r="R19" s="89">
        <v>21</v>
      </c>
      <c r="S19" s="89">
        <v>14</v>
      </c>
      <c r="T19" s="89">
        <v>35</v>
      </c>
      <c r="U19" s="89">
        <f t="shared" si="3"/>
        <v>70</v>
      </c>
      <c r="V19" s="105">
        <f t="shared" si="4"/>
        <v>0.7</v>
      </c>
      <c r="W19" s="89" t="str">
        <f>LOOKUP(V19,'Semester 1'!$I$24:$I$28,'Semester 1'!$N$24:$N$28)</f>
        <v>B</v>
      </c>
      <c r="X19" s="89" t="str">
        <f t="shared" si="14"/>
        <v>3</v>
      </c>
      <c r="Y19" s="89">
        <v>18</v>
      </c>
      <c r="Z19" s="89">
        <v>22</v>
      </c>
      <c r="AA19" s="89">
        <v>42</v>
      </c>
      <c r="AB19" s="89">
        <f t="shared" si="5"/>
        <v>82</v>
      </c>
      <c r="AC19" s="105">
        <f t="shared" si="6"/>
        <v>0.82</v>
      </c>
      <c r="AD19" s="89" t="str">
        <f>LOOKUP(AC19,'Semester 1'!$I$24:$I$28,'Semester 1'!$N$24:$N$28)</f>
        <v>A</v>
      </c>
      <c r="AE19" s="89" t="str">
        <f t="shared" si="15"/>
        <v>4</v>
      </c>
      <c r="AF19" s="89">
        <v>15</v>
      </c>
      <c r="AG19" s="89">
        <v>13</v>
      </c>
      <c r="AH19" s="89">
        <v>43</v>
      </c>
      <c r="AI19" s="89">
        <f t="shared" si="7"/>
        <v>71</v>
      </c>
      <c r="AJ19" s="105">
        <f t="shared" si="8"/>
        <v>0.71</v>
      </c>
      <c r="AK19" s="89" t="str">
        <f>LOOKUP(AJ19,'Semester 1'!$I$24:$I$28,'Semester 1'!$N$24:$N$28)</f>
        <v>B</v>
      </c>
      <c r="AL19" s="89" t="str">
        <f>IF(AI19&gt;=80,"4",IF(AI19&gt;=70,"3",IF(AI19&gt;=60,"2",IF(AI19&gt;=50,"1",IF(AI19&lt;50,"0")))))</f>
        <v>3</v>
      </c>
      <c r="AM19" s="89">
        <v>14</v>
      </c>
      <c r="AN19" s="89">
        <v>21</v>
      </c>
      <c r="AO19" s="89">
        <v>37</v>
      </c>
      <c r="AP19" s="89">
        <f t="shared" si="9"/>
        <v>72</v>
      </c>
      <c r="AQ19" s="105">
        <f t="shared" si="10"/>
        <v>0.72</v>
      </c>
      <c r="AR19" s="89" t="str">
        <f>LOOKUP(AQ19,'Semester 1'!$I$24:$I$28,'Semester 1'!$N$24:$N$28)</f>
        <v>B</v>
      </c>
      <c r="AS19" s="89" t="str">
        <f t="shared" si="17"/>
        <v>3</v>
      </c>
      <c r="AT19" s="89">
        <f t="shared" si="18"/>
        <v>54</v>
      </c>
      <c r="AU19" s="89">
        <f t="shared" si="19"/>
        <v>3</v>
      </c>
      <c r="AV19" s="89">
        <f>AVERAGE(AU19,'Semester 1'!AN19,'Semester 2'!AN19,'Semester 3'!AN19,'Semester 4'!AU19,'Semester 5'!AU19,'Semester 6'!BB19)</f>
        <v>3.6054421768707483</v>
      </c>
      <c r="AW19" s="89" t="str">
        <f t="shared" si="20"/>
        <v>First</v>
      </c>
    </row>
    <row r="22" spans="2:49" ht="15" thickBot="1" x14ac:dyDescent="0.35"/>
    <row r="23" spans="2:49" ht="15.6" x14ac:dyDescent="0.3">
      <c r="E23" s="34" t="s">
        <v>26</v>
      </c>
      <c r="F23" s="35" t="s">
        <v>27</v>
      </c>
      <c r="G23" s="46" t="s">
        <v>46</v>
      </c>
    </row>
    <row r="24" spans="2:49" x14ac:dyDescent="0.3">
      <c r="E24" s="36">
        <v>1</v>
      </c>
      <c r="F24" s="37" t="s">
        <v>65</v>
      </c>
      <c r="G24" s="2">
        <v>3</v>
      </c>
    </row>
    <row r="25" spans="2:49" x14ac:dyDescent="0.3">
      <c r="E25" s="36">
        <v>2</v>
      </c>
      <c r="F25" s="37" t="s">
        <v>66</v>
      </c>
      <c r="G25" s="2">
        <v>3</v>
      </c>
    </row>
    <row r="26" spans="2:49" x14ac:dyDescent="0.3">
      <c r="E26" s="36">
        <v>3</v>
      </c>
      <c r="F26" s="37" t="s">
        <v>67</v>
      </c>
      <c r="G26" s="2">
        <v>3</v>
      </c>
    </row>
    <row r="27" spans="2:49" x14ac:dyDescent="0.3">
      <c r="E27" s="36">
        <v>4</v>
      </c>
      <c r="F27" s="37" t="s">
        <v>68</v>
      </c>
      <c r="G27" s="2">
        <v>3</v>
      </c>
    </row>
    <row r="28" spans="2:49" x14ac:dyDescent="0.3">
      <c r="E28" s="36">
        <v>5</v>
      </c>
      <c r="F28" s="37" t="s">
        <v>69</v>
      </c>
      <c r="G28" s="2">
        <v>3</v>
      </c>
    </row>
    <row r="29" spans="2:49" ht="15" thickBot="1" x14ac:dyDescent="0.35">
      <c r="E29" s="36">
        <v>6</v>
      </c>
      <c r="F29" s="37" t="s">
        <v>70</v>
      </c>
      <c r="G29" s="2">
        <v>3</v>
      </c>
    </row>
    <row r="30" spans="2:49" ht="15" thickBot="1" x14ac:dyDescent="0.35">
      <c r="E30" s="39"/>
      <c r="F30" s="40" t="s">
        <v>32</v>
      </c>
      <c r="G30" s="38">
        <f>SUM(G24:G29)</f>
        <v>18</v>
      </c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7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1318260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1318260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AW30"/>
  <sheetViews>
    <sheetView zoomScaleNormal="100" workbookViewId="0">
      <selection activeCell="AH15" sqref="AH15"/>
    </sheetView>
  </sheetViews>
  <sheetFormatPr defaultColWidth="8.77734375" defaultRowHeight="14.4" x14ac:dyDescent="0.3"/>
  <cols>
    <col min="3" max="3" width="19.33203125" customWidth="1"/>
    <col min="4" max="5" width="7.6640625" bestFit="1" customWidth="1"/>
    <col min="6" max="6" width="10" customWidth="1"/>
    <col min="7" max="7" width="24.109375" bestFit="1" customWidth="1"/>
    <col min="8" max="8" width="11.6640625" customWidth="1"/>
    <col min="9" max="9" width="7.44140625" customWidth="1"/>
    <col min="10" max="10" width="7.33203125" customWidth="1"/>
    <col min="11" max="13" width="7.6640625" bestFit="1" customWidth="1"/>
    <col min="14" max="14" width="5.664062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664062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664062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66406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664062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7" width="7" bestFit="1" customWidth="1"/>
    <col min="48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23</v>
      </c>
      <c r="C7" s="149"/>
    </row>
    <row r="8" spans="2:49" ht="15" thickBot="1" x14ac:dyDescent="0.35">
      <c r="B8" s="150"/>
      <c r="C8" s="151"/>
      <c r="D8" s="152" t="s">
        <v>71</v>
      </c>
      <c r="E8" s="153"/>
      <c r="F8" s="153"/>
      <c r="G8" s="153"/>
      <c r="H8" s="153"/>
      <c r="I8" s="153"/>
      <c r="J8" s="154"/>
      <c r="K8" s="152" t="s">
        <v>72</v>
      </c>
      <c r="L8" s="153"/>
      <c r="M8" s="153"/>
      <c r="N8" s="153"/>
      <c r="O8" s="153"/>
      <c r="P8" s="153"/>
      <c r="Q8" s="154"/>
      <c r="R8" s="152" t="s">
        <v>73</v>
      </c>
      <c r="S8" s="153"/>
      <c r="T8" s="153"/>
      <c r="U8" s="153"/>
      <c r="V8" s="153"/>
      <c r="W8" s="153"/>
      <c r="X8" s="154"/>
      <c r="Y8" s="152" t="s">
        <v>74</v>
      </c>
      <c r="Z8" s="153"/>
      <c r="AA8" s="153"/>
      <c r="AB8" s="153"/>
      <c r="AC8" s="153"/>
      <c r="AD8" s="153"/>
      <c r="AE8" s="154"/>
      <c r="AF8" s="152" t="s">
        <v>76</v>
      </c>
      <c r="AG8" s="153"/>
      <c r="AH8" s="153"/>
      <c r="AI8" s="153"/>
      <c r="AJ8" s="153"/>
      <c r="AK8" s="153"/>
      <c r="AL8" s="154"/>
      <c r="AM8" s="152" t="s">
        <v>75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12</v>
      </c>
      <c r="E10" s="48">
        <v>15</v>
      </c>
      <c r="F10" s="48">
        <v>39</v>
      </c>
      <c r="G10" s="48">
        <f t="shared" ref="G10:G19" si="0">SUM(D10:F10)</f>
        <v>66</v>
      </c>
      <c r="H10" s="104">
        <f>G10/100</f>
        <v>0.66</v>
      </c>
      <c r="I10" s="48" t="str">
        <f>LOOKUP(H10,'Semester 1'!$I$24:$I$28,'Semester 1'!$N$24:$N$28)</f>
        <v>C</v>
      </c>
      <c r="J10" s="48" t="str">
        <f>IF(G10&gt;=80,"4",IF(G10&gt;=70,"3",IF(G10&gt;=60,"2",IF(G10&gt;=50,"1",IF(G10&lt;50,"0")))))</f>
        <v>2</v>
      </c>
      <c r="K10" s="48">
        <v>22</v>
      </c>
      <c r="L10" s="48">
        <v>13</v>
      </c>
      <c r="M10" s="48">
        <v>43</v>
      </c>
      <c r="N10" s="48">
        <f t="shared" ref="N10:N19" si="1">SUM(K10:M10)</f>
        <v>78</v>
      </c>
      <c r="O10" s="104">
        <f>N10/100</f>
        <v>0.78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20</v>
      </c>
      <c r="S10" s="48">
        <v>21</v>
      </c>
      <c r="T10" s="48">
        <v>39</v>
      </c>
      <c r="U10" s="48">
        <f t="shared" ref="U10:U19" si="2">SUM(R10:T10)</f>
        <v>80</v>
      </c>
      <c r="V10" s="104">
        <f t="shared" ref="V10:V19" si="3">U10/100</f>
        <v>0.8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23</v>
      </c>
      <c r="Z10" s="48">
        <v>18</v>
      </c>
      <c r="AA10" s="48">
        <v>38</v>
      </c>
      <c r="AB10" s="48">
        <f t="shared" ref="AB10:AB19" si="4">SUM(Y10:AA10)</f>
        <v>79</v>
      </c>
      <c r="AC10" s="104">
        <f t="shared" ref="AC10:AC19" si="5">AB10/100</f>
        <v>0.79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21</v>
      </c>
      <c r="AG10" s="48">
        <v>23</v>
      </c>
      <c r="AH10" s="48">
        <v>40</v>
      </c>
      <c r="AI10" s="48">
        <f t="shared" ref="AI10:AI19" si="6">SUM(AF10:AH10)</f>
        <v>84</v>
      </c>
      <c r="AJ10" s="104">
        <f t="shared" ref="AJ10:AJ19" si="7">AI10/100</f>
        <v>0.84</v>
      </c>
      <c r="AK10" s="48" t="str">
        <f>LOOKUP(AJ10,'Semester 1'!$I$24:$I$28,'Semester 1'!$N$24:$N$28)</f>
        <v>A</v>
      </c>
      <c r="AL10" s="48" t="str">
        <f>IF(AI10&gt;=80,"4",IF(AI10&gt;=70,"3",IF(AI10&gt;=60,"2",IF(AI10&gt;=50,"1",IF(AI10&lt;50,"0")))))</f>
        <v>4</v>
      </c>
      <c r="AM10" s="48">
        <v>22</v>
      </c>
      <c r="AN10" s="48">
        <v>21</v>
      </c>
      <c r="AO10" s="48">
        <v>45</v>
      </c>
      <c r="AP10" s="48">
        <f t="shared" ref="AP10:AP19" si="8">SUM(AM10:AO10)</f>
        <v>88</v>
      </c>
      <c r="AQ10" s="104">
        <f t="shared" ref="AQ10:AQ19" si="9">AP10/100</f>
        <v>0.88</v>
      </c>
      <c r="AR10" s="48" t="str">
        <f>LOOKUP(AQ10,'Semester 1'!$I$24:$I$28,'Semester 1'!$N$24:$N$28)</f>
        <v>A</v>
      </c>
      <c r="AS10" s="48" t="str">
        <f>IF(AP10&gt;=80,"4",IF(AP10&gt;=70,"3",IF(AP10&gt;=60,"2",IF(AP10&gt;=50,"1",IF(AP10&lt;50,"0")))))</f>
        <v>4</v>
      </c>
      <c r="AT10" s="48">
        <f>J10*$H$24+Q10*$H$25+X10*$H$26+AE10*$H$27+AL10*$H$28+AS10*$H$29</f>
        <v>60</v>
      </c>
      <c r="AU10" s="98">
        <f>AT10/$H$30</f>
        <v>3.3333333333333335</v>
      </c>
      <c r="AV10" s="98">
        <f>AVERAGE(AU10,'Semester 1'!AN10,'Semester 2'!AN10,'Semester 3'!AN10,'Semester 4'!AU10,'Semester 5'!AU10,'Semester 6'!BB10,'Semester 7'!AU10)</f>
        <v>3.2063492063492061</v>
      </c>
      <c r="AW10" s="48" t="str">
        <f>IF(LARGE($AU$10:$AU$19,1)=AU10,"First",IF(LARGE($AU$10:$AU$19,2)=AU10,"Second",IF(LARGE($AU$10:$AU$19,3)=AU10,"Third","")))</f>
        <v>Third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13</v>
      </c>
      <c r="E11" s="48">
        <v>4</v>
      </c>
      <c r="F11" s="48">
        <v>39</v>
      </c>
      <c r="G11" s="48">
        <f t="shared" si="0"/>
        <v>56</v>
      </c>
      <c r="H11" s="104">
        <f t="shared" ref="H11:H19" si="10">G11/100</f>
        <v>0.56000000000000005</v>
      </c>
      <c r="I11" s="48" t="str">
        <f>LOOKUP(H11,'Semester 1'!$I$24:$I$28,'Semester 1'!$N$24:$N$28)</f>
        <v>D</v>
      </c>
      <c r="J11" s="48" t="str">
        <f t="shared" ref="J11:J19" si="11">IF(G11&gt;=80,"4",IF(G11&gt;=70,"3",IF(G11&gt;=60,"2",IF(G11&gt;=50,"1",IF(G11&lt;50,"0")))))</f>
        <v>1</v>
      </c>
      <c r="K11" s="48">
        <v>13</v>
      </c>
      <c r="L11" s="48">
        <v>18</v>
      </c>
      <c r="M11" s="48">
        <v>35</v>
      </c>
      <c r="N11" s="48">
        <f t="shared" si="1"/>
        <v>66</v>
      </c>
      <c r="O11" s="104">
        <f t="shared" ref="O11:O19" si="12">N11/100</f>
        <v>0.66</v>
      </c>
      <c r="P11" s="48" t="str">
        <f>LOOKUP(O11,'Semester 1'!$I$24:$I$28,'Semester 1'!$N$24:$N$28)</f>
        <v>C</v>
      </c>
      <c r="Q11" s="48" t="str">
        <f t="shared" ref="Q11:Q19" si="13">IF(N11&gt;=80,"4",IF(N11&gt;=70,"3",IF(N11&gt;=60,"2",IF(N11&gt;=50,"1",IF(N11&lt;50,"0")))))</f>
        <v>2</v>
      </c>
      <c r="R11" s="48">
        <v>4</v>
      </c>
      <c r="S11" s="48">
        <v>7</v>
      </c>
      <c r="T11" s="48">
        <v>39</v>
      </c>
      <c r="U11" s="48">
        <f t="shared" si="2"/>
        <v>50</v>
      </c>
      <c r="V11" s="104">
        <f t="shared" si="3"/>
        <v>0.5</v>
      </c>
      <c r="W11" s="48" t="str">
        <f>LOOKUP(V11,'Semester 1'!$I$24:$I$28,'Semester 1'!$N$24:$N$28)</f>
        <v>D</v>
      </c>
      <c r="X11" s="48" t="str">
        <f t="shared" ref="X11:X19" si="14">IF(U11&gt;=80,"4",IF(U11&gt;=70,"3",IF(U11&gt;=60,"2",IF(U11&gt;=50,"1",IF(U11&lt;50,"0")))))</f>
        <v>1</v>
      </c>
      <c r="Y11" s="48">
        <v>12</v>
      </c>
      <c r="Z11" s="48">
        <v>13</v>
      </c>
      <c r="AA11" s="48">
        <v>36</v>
      </c>
      <c r="AB11" s="48">
        <f t="shared" si="4"/>
        <v>61</v>
      </c>
      <c r="AC11" s="104">
        <f t="shared" si="5"/>
        <v>0.61</v>
      </c>
      <c r="AD11" s="48" t="str">
        <f>LOOKUP(AC11,'Semester 1'!$I$24:$I$28,'Semester 1'!$N$24:$N$28)</f>
        <v>C</v>
      </c>
      <c r="AE11" s="48" t="str">
        <f t="shared" ref="AE11:AE19" si="15">IF(AB11&gt;=80,"4",IF(AB11&gt;=70,"3",IF(AB11&gt;=60,"2",IF(AB11&gt;=50,"1",IF(AB11&lt;50,"0")))))</f>
        <v>2</v>
      </c>
      <c r="AF11" s="48">
        <v>17</v>
      </c>
      <c r="AG11" s="48">
        <v>12</v>
      </c>
      <c r="AH11" s="48">
        <v>28</v>
      </c>
      <c r="AI11" s="48">
        <f t="shared" si="6"/>
        <v>57</v>
      </c>
      <c r="AJ11" s="104">
        <f t="shared" si="7"/>
        <v>0.56999999999999995</v>
      </c>
      <c r="AK11" s="48" t="str">
        <f>LOOKUP(AJ11,'Semester 1'!$I$24:$I$28,'Semester 1'!$N$24:$N$28)</f>
        <v>D</v>
      </c>
      <c r="AL11" s="48" t="str">
        <f t="shared" ref="AL11:AL19" si="16">IF(AI11&gt;=80,"4",IF(AI11&gt;=70,"3",IF(AI11&gt;=60,"2",IF(AI11&gt;=50,"1",IF(AI11&lt;50,"0")))))</f>
        <v>1</v>
      </c>
      <c r="AM11" s="48">
        <v>15</v>
      </c>
      <c r="AN11" s="48">
        <v>11</v>
      </c>
      <c r="AO11" s="48">
        <v>30</v>
      </c>
      <c r="AP11" s="48">
        <f t="shared" si="8"/>
        <v>56</v>
      </c>
      <c r="AQ11" s="104">
        <f t="shared" si="9"/>
        <v>0.56000000000000005</v>
      </c>
      <c r="AR11" s="48" t="str">
        <f>LOOKUP(AQ11,'Semester 1'!$I$24:$I$28,'Semester 1'!$N$24:$N$28)</f>
        <v>D</v>
      </c>
      <c r="AS11" s="48" t="str">
        <f t="shared" ref="AS11:AS19" si="17">IF(AP11&gt;=80,"4",IF(AP11&gt;=70,"3",IF(AP11&gt;=60,"2",IF(AP11&gt;=50,"1",IF(AP11&lt;50,"0")))))</f>
        <v>1</v>
      </c>
      <c r="AT11" s="48">
        <f t="shared" ref="AT11:AT19" si="18">J11*$H$24+Q11*$H$25+X11*$H$26+AE11*$H$27+AL11*$H$28+AS11*$H$29</f>
        <v>24</v>
      </c>
      <c r="AU11" s="98">
        <f t="shared" ref="AU11:AU19" si="19">AT11/$H$30</f>
        <v>1.3333333333333333</v>
      </c>
      <c r="AV11" s="98">
        <f>AVERAGE(AU11,'Semester 1'!AN11,'Semester 2'!AN11,'Semester 3'!AN11,'Semester 4'!AU11,'Semester 5'!AU11,'Semester 6'!BB11,'Semester 7'!AU11)</f>
        <v>2.3884920634920634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16</v>
      </c>
      <c r="E12" s="48">
        <v>19</v>
      </c>
      <c r="F12" s="48">
        <v>44</v>
      </c>
      <c r="G12" s="48">
        <f t="shared" si="0"/>
        <v>79</v>
      </c>
      <c r="H12" s="104">
        <f t="shared" si="10"/>
        <v>0.79</v>
      </c>
      <c r="I12" s="48" t="str">
        <f>LOOKUP(H12,'Semester 1'!$I$24:$I$28,'Semester 1'!$N$24:$N$28)</f>
        <v>B</v>
      </c>
      <c r="J12" s="48" t="str">
        <f t="shared" si="11"/>
        <v>3</v>
      </c>
      <c r="K12" s="48">
        <v>19</v>
      </c>
      <c r="L12" s="48">
        <v>22</v>
      </c>
      <c r="M12" s="48">
        <v>42</v>
      </c>
      <c r="N12" s="48">
        <f t="shared" si="1"/>
        <v>83</v>
      </c>
      <c r="O12" s="104">
        <f t="shared" si="12"/>
        <v>0.83</v>
      </c>
      <c r="P12" s="48" t="str">
        <f>LOOKUP(O12,'Semester 1'!$I$24:$I$28,'Semester 1'!$N$24:$N$28)</f>
        <v>A</v>
      </c>
      <c r="Q12" s="48" t="str">
        <f t="shared" si="13"/>
        <v>4</v>
      </c>
      <c r="R12" s="48">
        <v>9</v>
      </c>
      <c r="S12" s="48">
        <v>9</v>
      </c>
      <c r="T12" s="48">
        <v>37</v>
      </c>
      <c r="U12" s="48">
        <f t="shared" si="2"/>
        <v>55</v>
      </c>
      <c r="V12" s="104">
        <f t="shared" si="3"/>
        <v>0.55000000000000004</v>
      </c>
      <c r="W12" s="48" t="str">
        <f>LOOKUP(V12,'Semester 1'!$I$24:$I$28,'Semester 1'!$N$24:$N$28)</f>
        <v>D</v>
      </c>
      <c r="X12" s="48" t="str">
        <f t="shared" si="14"/>
        <v>1</v>
      </c>
      <c r="Y12" s="48">
        <v>10</v>
      </c>
      <c r="Z12" s="48">
        <v>8</v>
      </c>
      <c r="AA12" s="48">
        <v>29</v>
      </c>
      <c r="AB12" s="48">
        <f t="shared" si="4"/>
        <v>47</v>
      </c>
      <c r="AC12" s="104">
        <f t="shared" si="5"/>
        <v>0.47</v>
      </c>
      <c r="AD12" s="48" t="str">
        <f>LOOKUP(AC12,'Semester 1'!$I$24:$I$28,'Semester 1'!$N$24:$N$28)</f>
        <v>F</v>
      </c>
      <c r="AE12" s="48" t="str">
        <f t="shared" si="15"/>
        <v>0</v>
      </c>
      <c r="AF12" s="48">
        <v>14</v>
      </c>
      <c r="AG12" s="48">
        <v>7</v>
      </c>
      <c r="AH12" s="48">
        <v>35</v>
      </c>
      <c r="AI12" s="48">
        <f t="shared" si="6"/>
        <v>56</v>
      </c>
      <c r="AJ12" s="104">
        <f t="shared" si="7"/>
        <v>0.56000000000000005</v>
      </c>
      <c r="AK12" s="48" t="str">
        <f>LOOKUP(AJ12,'Semester 1'!$I$24:$I$28,'Semester 1'!$N$24:$N$28)</f>
        <v>D</v>
      </c>
      <c r="AL12" s="48" t="str">
        <f t="shared" si="16"/>
        <v>1</v>
      </c>
      <c r="AM12" s="48">
        <v>7</v>
      </c>
      <c r="AN12" s="48">
        <v>7</v>
      </c>
      <c r="AO12" s="48">
        <v>41</v>
      </c>
      <c r="AP12" s="48">
        <f t="shared" si="8"/>
        <v>55</v>
      </c>
      <c r="AQ12" s="104">
        <f t="shared" si="9"/>
        <v>0.55000000000000004</v>
      </c>
      <c r="AR12" s="48" t="str">
        <f>LOOKUP(AQ12,'Semester 1'!$I$24:$I$28,'Semester 1'!$N$24:$N$28)</f>
        <v>D</v>
      </c>
      <c r="AS12" s="48" t="str">
        <f t="shared" si="17"/>
        <v>1</v>
      </c>
      <c r="AT12" s="48">
        <f t="shared" si="18"/>
        <v>30</v>
      </c>
      <c r="AU12" s="98">
        <f t="shared" si="19"/>
        <v>1.6666666666666667</v>
      </c>
      <c r="AV12" s="98">
        <f>AVERAGE(AU12,'Semester 1'!AN12,'Semester 2'!AN12,'Semester 3'!AN12,'Semester 4'!AU12,'Semester 5'!AU12,'Semester 6'!BB12,'Semester 7'!AU12)</f>
        <v>2.3607142857142858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9</v>
      </c>
      <c r="E13" s="48">
        <v>14</v>
      </c>
      <c r="F13" s="48">
        <v>42</v>
      </c>
      <c r="G13" s="48">
        <f t="shared" si="0"/>
        <v>65</v>
      </c>
      <c r="H13" s="104">
        <f t="shared" si="10"/>
        <v>0.65</v>
      </c>
      <c r="I13" s="48" t="str">
        <f>LOOKUP(H13,'Semester 1'!$I$24:$I$28,'Semester 1'!$N$24:$N$28)</f>
        <v>C</v>
      </c>
      <c r="J13" s="48" t="str">
        <f t="shared" si="11"/>
        <v>2</v>
      </c>
      <c r="K13" s="48">
        <v>14</v>
      </c>
      <c r="L13" s="48">
        <v>22</v>
      </c>
      <c r="M13" s="48">
        <v>44</v>
      </c>
      <c r="N13" s="48">
        <f t="shared" si="1"/>
        <v>80</v>
      </c>
      <c r="O13" s="104">
        <f t="shared" si="12"/>
        <v>0.8</v>
      </c>
      <c r="P13" s="48" t="str">
        <f>LOOKUP(O13,'Semester 1'!$I$24:$I$28,'Semester 1'!$N$24:$N$28)</f>
        <v>A</v>
      </c>
      <c r="Q13" s="48" t="str">
        <f t="shared" si="13"/>
        <v>4</v>
      </c>
      <c r="R13" s="48">
        <v>6</v>
      </c>
      <c r="S13" s="48">
        <v>12</v>
      </c>
      <c r="T13" s="48">
        <v>46</v>
      </c>
      <c r="U13" s="48">
        <f t="shared" si="2"/>
        <v>64</v>
      </c>
      <c r="V13" s="104">
        <f t="shared" si="3"/>
        <v>0.64</v>
      </c>
      <c r="W13" s="48" t="str">
        <f>LOOKUP(V13,'Semester 1'!$I$24:$I$28,'Semester 1'!$N$24:$N$28)</f>
        <v>C</v>
      </c>
      <c r="X13" s="48" t="str">
        <f t="shared" si="14"/>
        <v>2</v>
      </c>
      <c r="Y13" s="48">
        <v>21</v>
      </c>
      <c r="Z13" s="48">
        <v>12</v>
      </c>
      <c r="AA13" s="48">
        <v>37</v>
      </c>
      <c r="AB13" s="48">
        <f t="shared" si="4"/>
        <v>70</v>
      </c>
      <c r="AC13" s="104">
        <f t="shared" si="5"/>
        <v>0.7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16</v>
      </c>
      <c r="AG13" s="48">
        <v>21</v>
      </c>
      <c r="AH13" s="48">
        <v>33</v>
      </c>
      <c r="AI13" s="48">
        <f t="shared" si="6"/>
        <v>70</v>
      </c>
      <c r="AJ13" s="104">
        <f t="shared" si="7"/>
        <v>0.7</v>
      </c>
      <c r="AK13" s="48" t="str">
        <f>LOOKUP(AJ13,'Semester 1'!$I$24:$I$28,'Semester 1'!$N$24:$N$28)</f>
        <v>B</v>
      </c>
      <c r="AL13" s="48" t="str">
        <f t="shared" si="16"/>
        <v>3</v>
      </c>
      <c r="AM13" s="48">
        <v>21</v>
      </c>
      <c r="AN13" s="48">
        <v>19</v>
      </c>
      <c r="AO13" s="48">
        <v>32</v>
      </c>
      <c r="AP13" s="48">
        <f t="shared" si="8"/>
        <v>72</v>
      </c>
      <c r="AQ13" s="104">
        <f t="shared" si="9"/>
        <v>0.72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51</v>
      </c>
      <c r="AU13" s="98">
        <f t="shared" si="19"/>
        <v>2.8333333333333335</v>
      </c>
      <c r="AV13" s="98">
        <f>AVERAGE(AU13,'Semester 1'!AN13,'Semester 2'!AN13,'Semester 3'!AN13,'Semester 4'!AU13,'Semester 5'!AU13,'Semester 6'!BB13,'Semester 7'!AU13)</f>
        <v>2.8180555555555555</v>
      </c>
      <c r="AW13" s="48" t="str">
        <f t="shared" si="20"/>
        <v/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15</v>
      </c>
      <c r="E14" s="48">
        <v>14</v>
      </c>
      <c r="F14" s="48">
        <v>38</v>
      </c>
      <c r="G14" s="48">
        <f t="shared" si="0"/>
        <v>67</v>
      </c>
      <c r="H14" s="104">
        <f t="shared" si="10"/>
        <v>0.67</v>
      </c>
      <c r="I14" s="48" t="str">
        <f>LOOKUP(H14,'Semester 1'!$I$24:$I$28,'Semester 1'!$N$24:$N$28)</f>
        <v>C</v>
      </c>
      <c r="J14" s="48" t="str">
        <f t="shared" si="11"/>
        <v>2</v>
      </c>
      <c r="K14" s="48">
        <v>12</v>
      </c>
      <c r="L14" s="48">
        <v>19</v>
      </c>
      <c r="M14" s="48">
        <v>43</v>
      </c>
      <c r="N14" s="48">
        <f t="shared" si="1"/>
        <v>74</v>
      </c>
      <c r="O14" s="104">
        <f t="shared" si="12"/>
        <v>0.74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12</v>
      </c>
      <c r="S14" s="48">
        <v>7</v>
      </c>
      <c r="T14" s="48">
        <v>28</v>
      </c>
      <c r="U14" s="48">
        <f t="shared" si="2"/>
        <v>47</v>
      </c>
      <c r="V14" s="104">
        <f t="shared" si="3"/>
        <v>0.47</v>
      </c>
      <c r="W14" s="48" t="str">
        <f>LOOKUP(V14,'Semester 1'!$I$24:$I$28,'Semester 1'!$N$24:$N$28)</f>
        <v>F</v>
      </c>
      <c r="X14" s="48" t="str">
        <f t="shared" si="14"/>
        <v>0</v>
      </c>
      <c r="Y14" s="48">
        <v>5</v>
      </c>
      <c r="Z14" s="48">
        <v>5</v>
      </c>
      <c r="AA14" s="48">
        <v>29</v>
      </c>
      <c r="AB14" s="48">
        <f t="shared" si="4"/>
        <v>39</v>
      </c>
      <c r="AC14" s="104">
        <f t="shared" si="5"/>
        <v>0.39</v>
      </c>
      <c r="AD14" s="48" t="str">
        <f>LOOKUP(AC14,'Semester 1'!$I$24:$I$28,'Semester 1'!$N$24:$N$28)</f>
        <v>F</v>
      </c>
      <c r="AE14" s="48" t="str">
        <f t="shared" si="15"/>
        <v>0</v>
      </c>
      <c r="AF14" s="48">
        <v>7</v>
      </c>
      <c r="AG14" s="48">
        <v>17</v>
      </c>
      <c r="AH14" s="48">
        <v>43</v>
      </c>
      <c r="AI14" s="48">
        <f t="shared" si="6"/>
        <v>67</v>
      </c>
      <c r="AJ14" s="104">
        <f t="shared" si="7"/>
        <v>0.67</v>
      </c>
      <c r="AK14" s="48" t="str">
        <f>LOOKUP(AJ14,'Semester 1'!$I$24:$I$28,'Semester 1'!$N$24:$N$28)</f>
        <v>C</v>
      </c>
      <c r="AL14" s="48" t="str">
        <f t="shared" si="16"/>
        <v>2</v>
      </c>
      <c r="AM14" s="48">
        <v>11</v>
      </c>
      <c r="AN14" s="48">
        <v>7</v>
      </c>
      <c r="AO14" s="48">
        <v>42</v>
      </c>
      <c r="AP14" s="48">
        <f t="shared" si="8"/>
        <v>60</v>
      </c>
      <c r="AQ14" s="104">
        <f t="shared" si="9"/>
        <v>0.6</v>
      </c>
      <c r="AR14" s="48" t="str">
        <f>LOOKUP(AQ14,'Semester 1'!$I$24:$I$28,'Semester 1'!$N$24:$N$28)</f>
        <v>C</v>
      </c>
      <c r="AS14" s="48" t="str">
        <f t="shared" si="17"/>
        <v>2</v>
      </c>
      <c r="AT14" s="48">
        <f t="shared" si="18"/>
        <v>27</v>
      </c>
      <c r="AU14" s="98">
        <f t="shared" si="19"/>
        <v>1.5</v>
      </c>
      <c r="AV14" s="98">
        <f>AVERAGE(AU14,'Semester 1'!AN14,'Semester 2'!AN14,'Semester 3'!AN14,'Semester 4'!AU14,'Semester 5'!AU14,'Semester 6'!BB14,'Semester 7'!AU14)</f>
        <v>2.401388888888889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8</v>
      </c>
      <c r="E15" s="48">
        <v>9</v>
      </c>
      <c r="F15" s="48">
        <v>39</v>
      </c>
      <c r="G15" s="48">
        <f t="shared" si="0"/>
        <v>56</v>
      </c>
      <c r="H15" s="104">
        <f t="shared" si="10"/>
        <v>0.56000000000000005</v>
      </c>
      <c r="I15" s="48" t="str">
        <f>LOOKUP(H15,'Semester 1'!$I$24:$I$28,'Semester 1'!$N$24:$N$28)</f>
        <v>D</v>
      </c>
      <c r="J15" s="48" t="str">
        <f t="shared" si="11"/>
        <v>1</v>
      </c>
      <c r="K15" s="48">
        <v>12</v>
      </c>
      <c r="L15" s="48">
        <v>15</v>
      </c>
      <c r="M15" s="48">
        <v>38</v>
      </c>
      <c r="N15" s="48">
        <f t="shared" si="1"/>
        <v>65</v>
      </c>
      <c r="O15" s="104">
        <f t="shared" si="12"/>
        <v>0.65</v>
      </c>
      <c r="P15" s="48" t="str">
        <f>LOOKUP(O15,'Semester 1'!$I$24:$I$28,'Semester 1'!$N$24:$N$28)</f>
        <v>C</v>
      </c>
      <c r="Q15" s="48" t="str">
        <f t="shared" si="13"/>
        <v>2</v>
      </c>
      <c r="R15" s="48">
        <v>8</v>
      </c>
      <c r="S15" s="48">
        <v>15</v>
      </c>
      <c r="T15" s="48">
        <v>42</v>
      </c>
      <c r="U15" s="48">
        <f t="shared" si="2"/>
        <v>65</v>
      </c>
      <c r="V15" s="104">
        <f t="shared" si="3"/>
        <v>0.65</v>
      </c>
      <c r="W15" s="48" t="str">
        <f>LOOKUP(V15,'Semester 1'!$I$24:$I$28,'Semester 1'!$N$24:$N$28)</f>
        <v>C</v>
      </c>
      <c r="X15" s="48" t="str">
        <f t="shared" si="14"/>
        <v>2</v>
      </c>
      <c r="Y15" s="48">
        <v>18</v>
      </c>
      <c r="Z15" s="48">
        <v>13</v>
      </c>
      <c r="AA15" s="48">
        <v>35</v>
      </c>
      <c r="AB15" s="48">
        <f t="shared" si="4"/>
        <v>66</v>
      </c>
      <c r="AC15" s="104">
        <f t="shared" si="5"/>
        <v>0.66</v>
      </c>
      <c r="AD15" s="48" t="str">
        <f>LOOKUP(AC15,'Semester 1'!$I$24:$I$28,'Semester 1'!$N$24:$N$28)</f>
        <v>C</v>
      </c>
      <c r="AE15" s="48" t="str">
        <f t="shared" si="15"/>
        <v>2</v>
      </c>
      <c r="AF15" s="48">
        <v>17</v>
      </c>
      <c r="AG15" s="48">
        <v>8</v>
      </c>
      <c r="AH15" s="48">
        <v>38</v>
      </c>
      <c r="AI15" s="48">
        <f t="shared" si="6"/>
        <v>63</v>
      </c>
      <c r="AJ15" s="104">
        <f t="shared" si="7"/>
        <v>0.63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17</v>
      </c>
      <c r="AN15" s="48">
        <v>19</v>
      </c>
      <c r="AO15" s="48">
        <v>30</v>
      </c>
      <c r="AP15" s="48">
        <f t="shared" si="8"/>
        <v>66</v>
      </c>
      <c r="AQ15" s="104">
        <f t="shared" si="9"/>
        <v>0.66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33</v>
      </c>
      <c r="AU15" s="98">
        <f t="shared" si="19"/>
        <v>1.8333333333333333</v>
      </c>
      <c r="AV15" s="98">
        <f>AVERAGE(AU15,'Semester 1'!AN15,'Semester 2'!AN15,'Semester 3'!AN15,'Semester 4'!AU15,'Semester 5'!AU15,'Semester 6'!BB15,'Semester 7'!AU15)</f>
        <v>2.157142857142857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12</v>
      </c>
      <c r="E16" s="48">
        <v>18</v>
      </c>
      <c r="F16" s="48">
        <v>38</v>
      </c>
      <c r="G16" s="48">
        <f t="shared" si="0"/>
        <v>68</v>
      </c>
      <c r="H16" s="104">
        <f t="shared" si="10"/>
        <v>0.68</v>
      </c>
      <c r="I16" s="48" t="str">
        <f>LOOKUP(H16,'Semester 1'!$I$24:$I$28,'Semester 1'!$N$24:$N$28)</f>
        <v>C</v>
      </c>
      <c r="J16" s="48" t="str">
        <f t="shared" si="11"/>
        <v>2</v>
      </c>
      <c r="K16" s="48">
        <v>16</v>
      </c>
      <c r="L16" s="48">
        <v>15</v>
      </c>
      <c r="M16" s="48">
        <v>35</v>
      </c>
      <c r="N16" s="48">
        <f t="shared" si="1"/>
        <v>66</v>
      </c>
      <c r="O16" s="104">
        <f t="shared" si="12"/>
        <v>0.66</v>
      </c>
      <c r="P16" s="48" t="str">
        <f>LOOKUP(O16,'Semester 1'!$I$24:$I$28,'Semester 1'!$N$24:$N$28)</f>
        <v>C</v>
      </c>
      <c r="Q16" s="48" t="str">
        <f t="shared" si="13"/>
        <v>2</v>
      </c>
      <c r="R16" s="48">
        <v>17</v>
      </c>
      <c r="S16" s="48">
        <v>16</v>
      </c>
      <c r="T16" s="48">
        <v>28</v>
      </c>
      <c r="U16" s="48">
        <f t="shared" si="2"/>
        <v>61</v>
      </c>
      <c r="V16" s="104">
        <f t="shared" si="3"/>
        <v>0.61</v>
      </c>
      <c r="W16" s="48" t="str">
        <f>LOOKUP(V16,'Semester 1'!$I$24:$I$28,'Semester 1'!$N$24:$N$28)</f>
        <v>C</v>
      </c>
      <c r="X16" s="48" t="str">
        <f t="shared" si="14"/>
        <v>2</v>
      </c>
      <c r="Y16" s="48">
        <v>10</v>
      </c>
      <c r="Z16" s="48">
        <v>7</v>
      </c>
      <c r="AA16" s="48">
        <v>38</v>
      </c>
      <c r="AB16" s="48">
        <f t="shared" si="4"/>
        <v>55</v>
      </c>
      <c r="AC16" s="104">
        <f t="shared" si="5"/>
        <v>0.55000000000000004</v>
      </c>
      <c r="AD16" s="48" t="str">
        <f>LOOKUP(AC16,'Semester 1'!$I$24:$I$28,'Semester 1'!$N$24:$N$28)</f>
        <v>D</v>
      </c>
      <c r="AE16" s="48" t="str">
        <f t="shared" si="15"/>
        <v>1</v>
      </c>
      <c r="AF16" s="48">
        <v>21</v>
      </c>
      <c r="AG16" s="48">
        <v>20</v>
      </c>
      <c r="AH16" s="48">
        <v>36</v>
      </c>
      <c r="AI16" s="48">
        <f t="shared" si="6"/>
        <v>77</v>
      </c>
      <c r="AJ16" s="104">
        <f t="shared" si="7"/>
        <v>0.77</v>
      </c>
      <c r="AK16" s="48" t="str">
        <f>LOOKUP(AJ16,'Semester 1'!$I$24:$I$28,'Semester 1'!$N$24:$N$28)</f>
        <v>B</v>
      </c>
      <c r="AL16" s="48" t="str">
        <f t="shared" si="16"/>
        <v>3</v>
      </c>
      <c r="AM16" s="48">
        <v>4</v>
      </c>
      <c r="AN16" s="48">
        <v>11</v>
      </c>
      <c r="AO16" s="48">
        <v>28</v>
      </c>
      <c r="AP16" s="48">
        <f t="shared" si="8"/>
        <v>43</v>
      </c>
      <c r="AQ16" s="104">
        <f t="shared" si="9"/>
        <v>0.43</v>
      </c>
      <c r="AR16" s="48" t="str">
        <f>LOOKUP(AQ16,'Semester 1'!$I$24:$I$28,'Semester 1'!$N$24:$N$28)</f>
        <v>F</v>
      </c>
      <c r="AS16" s="48" t="str">
        <f t="shared" si="17"/>
        <v>0</v>
      </c>
      <c r="AT16" s="48">
        <f t="shared" si="18"/>
        <v>30</v>
      </c>
      <c r="AU16" s="98">
        <f t="shared" si="19"/>
        <v>1.6666666666666667</v>
      </c>
      <c r="AV16" s="98">
        <f>AVERAGE(AU16,'Semester 1'!AN16,'Semester 2'!AN16,'Semester 3'!AN16,'Semester 4'!AU16,'Semester 5'!AU16,'Semester 6'!BB16,'Semester 7'!AU16)</f>
        <v>2.1940476190476188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11</v>
      </c>
      <c r="E17" s="48">
        <v>7</v>
      </c>
      <c r="F17" s="48">
        <v>43</v>
      </c>
      <c r="G17" s="48">
        <f t="shared" si="0"/>
        <v>61</v>
      </c>
      <c r="H17" s="104">
        <f t="shared" si="10"/>
        <v>0.61</v>
      </c>
      <c r="I17" s="48" t="str">
        <f>LOOKUP(H17,'Semester 1'!$I$24:$I$28,'Semester 1'!$N$24:$N$28)</f>
        <v>C</v>
      </c>
      <c r="J17" s="48" t="str">
        <f t="shared" si="11"/>
        <v>2</v>
      </c>
      <c r="K17" s="48">
        <v>18</v>
      </c>
      <c r="L17" s="48">
        <v>17</v>
      </c>
      <c r="M17" s="48">
        <v>38</v>
      </c>
      <c r="N17" s="48">
        <f t="shared" si="1"/>
        <v>73</v>
      </c>
      <c r="O17" s="104">
        <f t="shared" si="12"/>
        <v>0.73</v>
      </c>
      <c r="P17" s="48" t="str">
        <f>LOOKUP(O17,'Semester 1'!$I$24:$I$28,'Semester 1'!$N$24:$N$28)</f>
        <v>B</v>
      </c>
      <c r="Q17" s="48" t="str">
        <f t="shared" si="13"/>
        <v>3</v>
      </c>
      <c r="R17" s="48">
        <v>20</v>
      </c>
      <c r="S17" s="48">
        <v>10</v>
      </c>
      <c r="T17" s="48">
        <v>45</v>
      </c>
      <c r="U17" s="48">
        <f t="shared" si="2"/>
        <v>75</v>
      </c>
      <c r="V17" s="104">
        <f t="shared" si="3"/>
        <v>0.75</v>
      </c>
      <c r="W17" s="48" t="str">
        <f>LOOKUP(V17,'Semester 1'!$I$24:$I$28,'Semester 1'!$N$24:$N$28)</f>
        <v>B</v>
      </c>
      <c r="X17" s="48" t="str">
        <f t="shared" si="14"/>
        <v>3</v>
      </c>
      <c r="Y17" s="48">
        <v>15</v>
      </c>
      <c r="Z17" s="48">
        <v>20</v>
      </c>
      <c r="AA17" s="48">
        <v>34</v>
      </c>
      <c r="AB17" s="48">
        <f t="shared" si="4"/>
        <v>69</v>
      </c>
      <c r="AC17" s="104">
        <f t="shared" si="5"/>
        <v>0.69</v>
      </c>
      <c r="AD17" s="48" t="str">
        <f>LOOKUP(AC17,'Semester 1'!$I$24:$I$28,'Semester 1'!$N$24:$N$28)</f>
        <v>C</v>
      </c>
      <c r="AE17" s="48" t="str">
        <f t="shared" si="15"/>
        <v>2</v>
      </c>
      <c r="AF17" s="48">
        <v>19</v>
      </c>
      <c r="AG17" s="48">
        <v>6</v>
      </c>
      <c r="AH17" s="48">
        <v>29</v>
      </c>
      <c r="AI17" s="48">
        <f t="shared" si="6"/>
        <v>54</v>
      </c>
      <c r="AJ17" s="104">
        <f t="shared" si="7"/>
        <v>0.54</v>
      </c>
      <c r="AK17" s="48" t="str">
        <f>LOOKUP(AJ17,'Semester 1'!$I$24:$I$28,'Semester 1'!$N$24:$N$28)</f>
        <v>D</v>
      </c>
      <c r="AL17" s="48" t="str">
        <f t="shared" si="16"/>
        <v>1</v>
      </c>
      <c r="AM17" s="48">
        <v>12</v>
      </c>
      <c r="AN17" s="48">
        <v>5</v>
      </c>
      <c r="AO17" s="48">
        <v>33</v>
      </c>
      <c r="AP17" s="48">
        <f t="shared" si="8"/>
        <v>50</v>
      </c>
      <c r="AQ17" s="104">
        <f t="shared" si="9"/>
        <v>0.5</v>
      </c>
      <c r="AR17" s="48" t="str">
        <f>LOOKUP(AQ17,'Semester 1'!$I$24:$I$28,'Semester 1'!$N$24:$N$28)</f>
        <v>D</v>
      </c>
      <c r="AS17" s="48" t="str">
        <f t="shared" si="17"/>
        <v>1</v>
      </c>
      <c r="AT17" s="48">
        <f t="shared" si="18"/>
        <v>36</v>
      </c>
      <c r="AU17" s="98">
        <f t="shared" si="19"/>
        <v>2</v>
      </c>
      <c r="AV17" s="98">
        <f>AVERAGE(AU17,'Semester 1'!AN17,'Semester 2'!AN17,'Semester 3'!AN17,'Semester 4'!AU17,'Semester 5'!AU17,'Semester 6'!BB17,'Semester 7'!AU17)</f>
        <v>2.2934523809523806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15</v>
      </c>
      <c r="E18" s="48">
        <v>16</v>
      </c>
      <c r="F18" s="48">
        <v>45</v>
      </c>
      <c r="G18" s="48">
        <f t="shared" si="0"/>
        <v>76</v>
      </c>
      <c r="H18" s="104">
        <f t="shared" si="10"/>
        <v>0.76</v>
      </c>
      <c r="I18" s="48" t="str">
        <f>LOOKUP(H18,'Semester 1'!$I$24:$I$28,'Semester 1'!$N$24:$N$28)</f>
        <v>B</v>
      </c>
      <c r="J18" s="48" t="str">
        <f t="shared" si="11"/>
        <v>3</v>
      </c>
      <c r="K18" s="48">
        <v>21</v>
      </c>
      <c r="L18" s="48">
        <v>20</v>
      </c>
      <c r="M18" s="48">
        <v>44</v>
      </c>
      <c r="N18" s="48">
        <f t="shared" si="1"/>
        <v>85</v>
      </c>
      <c r="O18" s="104">
        <f t="shared" si="12"/>
        <v>0.85</v>
      </c>
      <c r="P18" s="48" t="str">
        <f>LOOKUP(O18,'Semester 1'!$I$24:$I$28,'Semester 1'!$N$24:$N$28)</f>
        <v>A</v>
      </c>
      <c r="Q18" s="48" t="str">
        <f t="shared" si="13"/>
        <v>4</v>
      </c>
      <c r="R18" s="48">
        <v>20</v>
      </c>
      <c r="S18" s="48">
        <v>15</v>
      </c>
      <c r="T18" s="48">
        <v>35</v>
      </c>
      <c r="U18" s="48">
        <f t="shared" si="2"/>
        <v>70</v>
      </c>
      <c r="V18" s="104">
        <f t="shared" si="3"/>
        <v>0.7</v>
      </c>
      <c r="W18" s="48" t="str">
        <f>LOOKUP(V18,'Semester 1'!$I$24:$I$28,'Semester 1'!$N$24:$N$28)</f>
        <v>B</v>
      </c>
      <c r="X18" s="48" t="str">
        <f t="shared" si="14"/>
        <v>3</v>
      </c>
      <c r="Y18" s="48">
        <v>20</v>
      </c>
      <c r="Z18" s="48">
        <v>20</v>
      </c>
      <c r="AA18" s="48">
        <v>46</v>
      </c>
      <c r="AB18" s="48">
        <f t="shared" si="4"/>
        <v>86</v>
      </c>
      <c r="AC18" s="104">
        <f t="shared" si="5"/>
        <v>0.86</v>
      </c>
      <c r="AD18" s="48" t="str">
        <f>LOOKUP(AC18,'Semester 1'!$I$24:$I$28,'Semester 1'!$N$24:$N$28)</f>
        <v>A</v>
      </c>
      <c r="AE18" s="48" t="str">
        <f t="shared" si="15"/>
        <v>4</v>
      </c>
      <c r="AF18" s="48">
        <v>20</v>
      </c>
      <c r="AG18" s="48">
        <v>23</v>
      </c>
      <c r="AH18" s="48">
        <v>38</v>
      </c>
      <c r="AI18" s="48">
        <f t="shared" si="6"/>
        <v>81</v>
      </c>
      <c r="AJ18" s="104">
        <f t="shared" si="7"/>
        <v>0.81</v>
      </c>
      <c r="AK18" s="48" t="str">
        <f>LOOKUP(AJ18,'Semester 1'!$I$24:$I$28,'Semester 1'!$N$24:$N$28)</f>
        <v>A</v>
      </c>
      <c r="AL18" s="48" t="str">
        <f t="shared" si="16"/>
        <v>4</v>
      </c>
      <c r="AM18" s="48">
        <v>18</v>
      </c>
      <c r="AN18" s="48">
        <v>19</v>
      </c>
      <c r="AO18" s="48">
        <v>35</v>
      </c>
      <c r="AP18" s="48">
        <f t="shared" si="8"/>
        <v>72</v>
      </c>
      <c r="AQ18" s="104">
        <f t="shared" si="9"/>
        <v>0.72</v>
      </c>
      <c r="AR18" s="48" t="str">
        <f>LOOKUP(AQ18,'Semester 1'!$I$24:$I$28,'Semester 1'!$N$24:$N$28)</f>
        <v>B</v>
      </c>
      <c r="AS18" s="48" t="str">
        <f t="shared" si="17"/>
        <v>3</v>
      </c>
      <c r="AT18" s="48">
        <f t="shared" si="18"/>
        <v>63</v>
      </c>
      <c r="AU18" s="98">
        <f t="shared" si="19"/>
        <v>3.5</v>
      </c>
      <c r="AV18" s="98">
        <f>AVERAGE(AU18,'Semester 1'!AN18,'Semester 2'!AN18,'Semester 3'!AN18,'Semester 4'!AU18,'Semester 5'!AU18,'Semester 6'!BB18,'Semester 7'!AU18)</f>
        <v>2.5136904761904759</v>
      </c>
      <c r="AW18" s="48" t="str">
        <f t="shared" si="20"/>
        <v>Second</v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19</v>
      </c>
      <c r="E19" s="89">
        <v>20</v>
      </c>
      <c r="F19" s="89">
        <v>44</v>
      </c>
      <c r="G19" s="89">
        <f t="shared" si="0"/>
        <v>83</v>
      </c>
      <c r="H19" s="105">
        <f t="shared" si="10"/>
        <v>0.83</v>
      </c>
      <c r="I19" s="89" t="str">
        <f>LOOKUP(H19,'Semester 1'!$I$24:$I$28,'Semester 1'!$N$24:$N$28)</f>
        <v>A</v>
      </c>
      <c r="J19" s="89" t="str">
        <f t="shared" si="11"/>
        <v>4</v>
      </c>
      <c r="K19" s="89">
        <v>23</v>
      </c>
      <c r="L19" s="89">
        <v>22</v>
      </c>
      <c r="M19" s="89">
        <v>45</v>
      </c>
      <c r="N19" s="89">
        <f t="shared" si="1"/>
        <v>90</v>
      </c>
      <c r="O19" s="105">
        <f t="shared" si="12"/>
        <v>0.9</v>
      </c>
      <c r="P19" s="89" t="str">
        <f>LOOKUP(O19,'Semester 1'!$I$24:$I$28,'Semester 1'!$N$24:$N$28)</f>
        <v>A</v>
      </c>
      <c r="Q19" s="89" t="str">
        <f t="shared" si="13"/>
        <v>4</v>
      </c>
      <c r="R19" s="89">
        <v>21</v>
      </c>
      <c r="S19" s="89">
        <v>23</v>
      </c>
      <c r="T19" s="89">
        <v>47</v>
      </c>
      <c r="U19" s="89">
        <f t="shared" si="2"/>
        <v>91</v>
      </c>
      <c r="V19" s="105">
        <f t="shared" si="3"/>
        <v>0.91</v>
      </c>
      <c r="W19" s="89" t="str">
        <f>LOOKUP(V19,'Semester 1'!$I$24:$I$28,'Semester 1'!$N$24:$N$28)</f>
        <v>A</v>
      </c>
      <c r="X19" s="89" t="str">
        <f t="shared" si="14"/>
        <v>4</v>
      </c>
      <c r="Y19" s="89">
        <v>21</v>
      </c>
      <c r="Z19" s="89">
        <v>22</v>
      </c>
      <c r="AA19" s="89">
        <v>43</v>
      </c>
      <c r="AB19" s="89">
        <f t="shared" si="4"/>
        <v>86</v>
      </c>
      <c r="AC19" s="105">
        <f t="shared" si="5"/>
        <v>0.86</v>
      </c>
      <c r="AD19" s="89" t="str">
        <f>LOOKUP(AC19,'Semester 1'!$I$24:$I$28,'Semester 1'!$N$24:$N$28)</f>
        <v>A</v>
      </c>
      <c r="AE19" s="89" t="str">
        <f t="shared" si="15"/>
        <v>4</v>
      </c>
      <c r="AF19" s="89">
        <v>18</v>
      </c>
      <c r="AG19" s="89">
        <v>15</v>
      </c>
      <c r="AH19" s="89">
        <v>45</v>
      </c>
      <c r="AI19" s="89">
        <f t="shared" si="6"/>
        <v>78</v>
      </c>
      <c r="AJ19" s="105">
        <f t="shared" si="7"/>
        <v>0.78</v>
      </c>
      <c r="AK19" s="89" t="str">
        <f>LOOKUP(AJ19,'Semester 1'!$I$24:$I$28,'Semester 1'!$N$24:$N$28)</f>
        <v>B</v>
      </c>
      <c r="AL19" s="89" t="str">
        <f t="shared" si="16"/>
        <v>3</v>
      </c>
      <c r="AM19" s="89">
        <v>22</v>
      </c>
      <c r="AN19" s="89">
        <v>21</v>
      </c>
      <c r="AO19" s="89">
        <v>45</v>
      </c>
      <c r="AP19" s="89">
        <f t="shared" si="8"/>
        <v>88</v>
      </c>
      <c r="AQ19" s="105">
        <f t="shared" si="9"/>
        <v>0.88</v>
      </c>
      <c r="AR19" s="89" t="str">
        <f>LOOKUP(AQ19,'Semester 1'!$I$24:$I$28,'Semester 1'!$N$24:$N$28)</f>
        <v>A</v>
      </c>
      <c r="AS19" s="89" t="str">
        <f t="shared" si="17"/>
        <v>4</v>
      </c>
      <c r="AT19" s="89">
        <f t="shared" si="18"/>
        <v>69</v>
      </c>
      <c r="AU19" s="99">
        <f t="shared" si="19"/>
        <v>3.8333333333333335</v>
      </c>
      <c r="AV19" s="99">
        <f>AVERAGE(AU19,'Semester 1'!AN19,'Semester 2'!AN19,'Semester 3'!AN19,'Semester 4'!AU19,'Semester 5'!AU19,'Semester 6'!BB19,'Semester 7'!AU19)</f>
        <v>3.6339285714285716</v>
      </c>
      <c r="AW19" s="89" t="str">
        <f t="shared" si="20"/>
        <v>First</v>
      </c>
    </row>
    <row r="22" spans="2:49" ht="15" thickBot="1" x14ac:dyDescent="0.35"/>
    <row r="23" spans="2:49" ht="15.6" x14ac:dyDescent="0.3">
      <c r="F23" s="34" t="s">
        <v>26</v>
      </c>
      <c r="G23" s="35" t="s">
        <v>27</v>
      </c>
      <c r="H23" s="46" t="s">
        <v>46</v>
      </c>
    </row>
    <row r="24" spans="2:49" x14ac:dyDescent="0.3">
      <c r="F24" s="36">
        <v>1</v>
      </c>
      <c r="G24" s="37" t="s">
        <v>71</v>
      </c>
      <c r="H24" s="2">
        <v>3</v>
      </c>
    </row>
    <row r="25" spans="2:49" x14ac:dyDescent="0.3">
      <c r="F25" s="36">
        <v>2</v>
      </c>
      <c r="G25" s="37" t="s">
        <v>72</v>
      </c>
      <c r="H25" s="2">
        <v>3</v>
      </c>
    </row>
    <row r="26" spans="2:49" x14ac:dyDescent="0.3">
      <c r="F26" s="36">
        <v>3</v>
      </c>
      <c r="G26" s="37" t="s">
        <v>73</v>
      </c>
      <c r="H26" s="2">
        <v>3</v>
      </c>
    </row>
    <row r="27" spans="2:49" x14ac:dyDescent="0.3">
      <c r="F27" s="36">
        <v>4</v>
      </c>
      <c r="G27" s="37" t="s">
        <v>74</v>
      </c>
      <c r="H27" s="2">
        <v>3</v>
      </c>
    </row>
    <row r="28" spans="2:49" x14ac:dyDescent="0.3">
      <c r="F28" s="36">
        <v>5</v>
      </c>
      <c r="G28" s="37" t="s">
        <v>76</v>
      </c>
      <c r="H28" s="2">
        <v>3</v>
      </c>
    </row>
    <row r="29" spans="2:49" ht="15" thickBot="1" x14ac:dyDescent="0.35">
      <c r="F29" s="36">
        <v>6</v>
      </c>
      <c r="G29" s="37" t="s">
        <v>75</v>
      </c>
      <c r="H29" s="2">
        <v>3</v>
      </c>
    </row>
    <row r="30" spans="2:49" ht="15" thickBot="1" x14ac:dyDescent="0.35">
      <c r="F30" s="39"/>
      <c r="G30" s="40" t="s">
        <v>32</v>
      </c>
      <c r="H30" s="38">
        <f>SUM(H24:H29)</f>
        <v>18</v>
      </c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6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15240</xdr:rowOff>
                  </from>
                  <to>
                    <xdr:col>2</xdr:col>
                    <xdr:colOff>1318260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1318260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N88"/>
  <sheetViews>
    <sheetView workbookViewId="0">
      <selection activeCell="E24" sqref="E24"/>
    </sheetView>
  </sheetViews>
  <sheetFormatPr defaultColWidth="8.77734375" defaultRowHeight="14.4" x14ac:dyDescent="0.3"/>
  <cols>
    <col min="2" max="2" width="6.44140625" customWidth="1"/>
    <col min="3" max="3" width="24.109375" customWidth="1"/>
    <col min="4" max="4" width="14.77734375" bestFit="1" customWidth="1"/>
    <col min="5" max="5" width="17.77734375" bestFit="1" customWidth="1"/>
    <col min="6" max="6" width="11.6640625" customWidth="1"/>
    <col min="7" max="7" width="9" bestFit="1" customWidth="1"/>
    <col min="8" max="8" width="15.77734375" customWidth="1"/>
    <col min="9" max="9" width="22.77734375" customWidth="1"/>
    <col min="10" max="10" width="5.77734375" bestFit="1" customWidth="1"/>
    <col min="11" max="11" width="20.44140625" customWidth="1"/>
    <col min="12" max="12" width="9" customWidth="1"/>
    <col min="13" max="13" width="10.6640625" customWidth="1"/>
    <col min="14" max="14" width="5.77734375" bestFit="1" customWidth="1"/>
    <col min="15" max="15" width="10.33203125" customWidth="1"/>
    <col min="16" max="17" width="12" bestFit="1" customWidth="1"/>
    <col min="18" max="18" width="13.44140625" bestFit="1" customWidth="1"/>
    <col min="19" max="19" width="9.44140625" customWidth="1"/>
    <col min="20" max="20" width="17.77734375" customWidth="1"/>
    <col min="21" max="21" width="11.77734375" customWidth="1"/>
    <col min="22" max="22" width="12.109375" customWidth="1"/>
    <col min="23" max="23" width="11.77734375" customWidth="1"/>
    <col min="24" max="24" width="10.33203125" customWidth="1"/>
    <col min="25" max="25" width="11.6640625" customWidth="1"/>
    <col min="26" max="26" width="14.6640625" customWidth="1"/>
    <col min="27" max="27" width="11.77734375" customWidth="1"/>
    <col min="28" max="28" width="5.6640625" bestFit="1" customWidth="1"/>
    <col min="29" max="29" width="8.6640625" customWidth="1"/>
    <col min="30" max="30" width="14.109375" customWidth="1"/>
    <col min="31" max="31" width="16.109375" customWidth="1"/>
    <col min="32" max="32" width="15.44140625" customWidth="1"/>
    <col min="33" max="33" width="14.77734375" customWidth="1"/>
    <col min="34" max="34" width="12.44140625" customWidth="1"/>
    <col min="35" max="35" width="5.77734375" bestFit="1" customWidth="1"/>
    <col min="36" max="36" width="12.6640625" customWidth="1"/>
    <col min="37" max="37" width="17.109375" customWidth="1"/>
    <col min="38" max="38" width="8.44140625" customWidth="1"/>
    <col min="39" max="39" width="11.6640625" customWidth="1"/>
    <col min="40" max="40" width="13.6640625" customWidth="1"/>
    <col min="41" max="41" width="8.6640625" customWidth="1"/>
    <col min="42" max="42" width="10" customWidth="1"/>
    <col min="43" max="43" width="12.77734375" customWidth="1"/>
    <col min="44" max="44" width="14.6640625" customWidth="1"/>
    <col min="45" max="45" width="14" customWidth="1"/>
    <col min="46" max="46" width="15.44140625" customWidth="1"/>
    <col min="47" max="47" width="11.109375" customWidth="1"/>
    <col min="48" max="48" width="12.33203125" customWidth="1"/>
    <col min="49" max="49" width="8.44140625" customWidth="1"/>
    <col min="50" max="50" width="11.109375" customWidth="1"/>
    <col min="51" max="51" width="9.77734375" customWidth="1"/>
    <col min="52" max="52" width="9.6640625" customWidth="1"/>
    <col min="53" max="53" width="10.44140625" customWidth="1"/>
    <col min="54" max="54" width="6.77734375" customWidth="1"/>
    <col min="55" max="55" width="10" customWidth="1"/>
    <col min="56" max="56" width="14.6640625" customWidth="1"/>
    <col min="57" max="57" width="12.77734375" customWidth="1"/>
    <col min="58" max="58" width="18.44140625" customWidth="1"/>
    <col min="59" max="59" width="13.6640625" customWidth="1"/>
    <col min="60" max="60" width="14.109375" customWidth="1"/>
    <col min="61" max="61" width="12.6640625" customWidth="1"/>
    <col min="62" max="62" width="12.109375" customWidth="1"/>
    <col min="63" max="63" width="10.6640625" customWidth="1"/>
    <col min="64" max="64" width="5.109375" customWidth="1"/>
    <col min="65" max="65" width="14.109375" customWidth="1"/>
    <col min="66" max="66" width="15.77734375" customWidth="1"/>
    <col min="67" max="68" width="16.77734375" customWidth="1"/>
    <col min="69" max="69" width="9.44140625" customWidth="1"/>
    <col min="70" max="70" width="12.77734375" customWidth="1"/>
    <col min="71" max="71" width="12.109375" customWidth="1"/>
    <col min="72" max="72" width="17" customWidth="1"/>
    <col min="73" max="73" width="13.44140625" customWidth="1"/>
    <col min="74" max="74" width="16" customWidth="1"/>
    <col min="75" max="75" width="8.77734375" customWidth="1"/>
    <col min="76" max="76" width="16.77734375" customWidth="1"/>
    <col min="77" max="77" width="16.6640625" customWidth="1"/>
    <col min="78" max="78" width="10.44140625" customWidth="1"/>
    <col min="79" max="79" width="18.6640625" customWidth="1"/>
    <col min="80" max="80" width="16" customWidth="1"/>
    <col min="81" max="81" width="5.77734375" bestFit="1" customWidth="1"/>
    <col min="82" max="82" width="10.6640625" customWidth="1"/>
    <col min="83" max="83" width="5.77734375" bestFit="1" customWidth="1"/>
    <col min="84" max="84" width="8.6640625" customWidth="1"/>
    <col min="85" max="85" width="9.109375" customWidth="1"/>
    <col min="86" max="86" width="13.6640625" customWidth="1"/>
    <col min="87" max="87" width="18.44140625" customWidth="1"/>
    <col min="88" max="88" width="13" customWidth="1"/>
    <col min="89" max="89" width="9.77734375" customWidth="1"/>
    <col min="90" max="90" width="7.44140625" customWidth="1"/>
    <col min="91" max="91" width="12.33203125" customWidth="1"/>
    <col min="92" max="92" width="12" customWidth="1"/>
    <col min="93" max="93" width="11.6640625" customWidth="1"/>
    <col min="94" max="94" width="14" customWidth="1"/>
    <col min="95" max="95" width="7.33203125" customWidth="1"/>
    <col min="96" max="96" width="12.33203125" customWidth="1"/>
    <col min="97" max="97" width="9.44140625" customWidth="1"/>
    <col min="98" max="98" width="10.44140625" customWidth="1"/>
    <col min="99" max="99" width="8.77734375" customWidth="1"/>
    <col min="100" max="100" width="10.77734375" customWidth="1"/>
    <col min="101" max="101" width="12.77734375" customWidth="1"/>
    <col min="102" max="102" width="15.77734375" customWidth="1"/>
    <col min="103" max="103" width="9.6640625" customWidth="1"/>
    <col min="104" max="104" width="12" customWidth="1"/>
    <col min="105" max="105" width="11.6640625" customWidth="1"/>
    <col min="106" max="106" width="13.44140625" customWidth="1"/>
    <col min="107" max="107" width="8" customWidth="1"/>
    <col min="108" max="108" width="8.44140625" customWidth="1"/>
    <col min="109" max="109" width="7.6640625" customWidth="1"/>
    <col min="110" max="110" width="6.6640625" customWidth="1"/>
    <col min="111" max="111" width="7.6640625" customWidth="1"/>
    <col min="112" max="112" width="8" customWidth="1"/>
    <col min="113" max="113" width="7.109375" customWidth="1"/>
    <col min="114" max="114" width="6.33203125" customWidth="1"/>
    <col min="116" max="116" width="17.44140625" bestFit="1" customWidth="1"/>
    <col min="117" max="117" width="12.109375" hidden="1" customWidth="1"/>
    <col min="118" max="118" width="14.6640625" hidden="1" customWidth="1"/>
  </cols>
  <sheetData>
    <row r="1" spans="2:118" ht="15" thickBot="1" x14ac:dyDescent="0.35">
      <c r="B1" s="9"/>
      <c r="C1" s="9"/>
    </row>
    <row r="2" spans="2:118" x14ac:dyDescent="0.3">
      <c r="B2" s="22"/>
      <c r="C2" s="23"/>
    </row>
    <row r="3" spans="2:118" ht="15" thickBot="1" x14ac:dyDescent="0.35">
      <c r="B3" s="58"/>
      <c r="C3" s="87"/>
    </row>
    <row r="4" spans="2:118" ht="27" customHeight="1" thickBot="1" x14ac:dyDescent="0.35">
      <c r="B4" s="173"/>
      <c r="C4" s="174"/>
      <c r="K4" s="54"/>
      <c r="L4" s="54"/>
    </row>
    <row r="5" spans="2:118" ht="14.55" customHeight="1" x14ac:dyDescent="0.3">
      <c r="B5" s="148" t="s">
        <v>182</v>
      </c>
      <c r="C5" s="149"/>
      <c r="K5" s="54"/>
      <c r="L5" s="54"/>
    </row>
    <row r="6" spans="2:118" ht="15" customHeight="1" thickBot="1" x14ac:dyDescent="0.35">
      <c r="B6" s="175"/>
      <c r="C6" s="176"/>
    </row>
    <row r="7" spans="2:118" ht="15" customHeight="1" thickBot="1" x14ac:dyDescent="0.35">
      <c r="B7" s="150"/>
      <c r="C7" s="151"/>
      <c r="S7" s="162" t="s">
        <v>185</v>
      </c>
      <c r="T7" s="163"/>
      <c r="AE7" s="162" t="s">
        <v>186</v>
      </c>
      <c r="AF7" s="163"/>
      <c r="AQ7" s="162" t="s">
        <v>187</v>
      </c>
      <c r="AR7" s="163"/>
      <c r="BE7" s="162" t="s">
        <v>188</v>
      </c>
      <c r="BF7" s="163"/>
      <c r="BS7" s="162" t="s">
        <v>189</v>
      </c>
      <c r="BT7" s="163"/>
      <c r="CI7" s="162" t="s">
        <v>190</v>
      </c>
      <c r="CJ7" s="163"/>
      <c r="CW7" s="162" t="s">
        <v>191</v>
      </c>
      <c r="CX7" s="163"/>
    </row>
    <row r="8" spans="2:118" ht="14.55" customHeight="1" x14ac:dyDescent="0.3">
      <c r="B8" s="162" t="s">
        <v>184</v>
      </c>
      <c r="C8" s="163"/>
      <c r="K8" s="54"/>
      <c r="L8" s="54"/>
      <c r="S8" s="164"/>
      <c r="T8" s="165"/>
      <c r="AE8" s="164"/>
      <c r="AF8" s="165"/>
      <c r="AQ8" s="164"/>
      <c r="AR8" s="165"/>
      <c r="BE8" s="164"/>
      <c r="BF8" s="165"/>
      <c r="BS8" s="164"/>
      <c r="BT8" s="165"/>
      <c r="CI8" s="164"/>
      <c r="CJ8" s="165"/>
      <c r="CW8" s="164"/>
      <c r="CX8" s="165"/>
    </row>
    <row r="9" spans="2:118" ht="15" customHeight="1" thickBot="1" x14ac:dyDescent="0.35">
      <c r="B9" s="164"/>
      <c r="C9" s="165"/>
      <c r="S9" s="166"/>
      <c r="T9" s="167"/>
      <c r="AE9" s="166"/>
      <c r="AF9" s="167"/>
      <c r="AQ9" s="166"/>
      <c r="AR9" s="167"/>
      <c r="BE9" s="166"/>
      <c r="BF9" s="167"/>
      <c r="BS9" s="166"/>
      <c r="BT9" s="167"/>
      <c r="CI9" s="166"/>
      <c r="CJ9" s="167"/>
      <c r="CW9" s="166"/>
      <c r="CX9" s="167"/>
    </row>
    <row r="10" spans="2:118" ht="15" customHeight="1" thickBot="1" x14ac:dyDescent="0.35">
      <c r="B10" s="166"/>
      <c r="C10" s="167"/>
      <c r="S10" s="148" t="s">
        <v>17</v>
      </c>
      <c r="T10" s="149"/>
      <c r="AE10" s="148" t="s">
        <v>18</v>
      </c>
      <c r="AF10" s="149"/>
      <c r="AQ10" s="148" t="s">
        <v>19</v>
      </c>
      <c r="AR10" s="149"/>
      <c r="BE10" s="148" t="s">
        <v>20</v>
      </c>
      <c r="BF10" s="149"/>
      <c r="BS10" s="148" t="s">
        <v>21</v>
      </c>
      <c r="BT10" s="149"/>
      <c r="CI10" s="148" t="s">
        <v>22</v>
      </c>
      <c r="CJ10" s="149"/>
      <c r="CW10" s="148" t="s">
        <v>23</v>
      </c>
      <c r="CX10" s="149"/>
    </row>
    <row r="11" spans="2:118" ht="15" customHeight="1" thickBot="1" x14ac:dyDescent="0.35">
      <c r="B11" s="148" t="s">
        <v>25</v>
      </c>
      <c r="C11" s="149"/>
      <c r="S11" s="150"/>
      <c r="T11" s="151"/>
      <c r="AE11" s="150"/>
      <c r="AF11" s="151"/>
      <c r="AQ11" s="150"/>
      <c r="AR11" s="151"/>
      <c r="BE11" s="150"/>
      <c r="BF11" s="151"/>
      <c r="BS11" s="150"/>
      <c r="BT11" s="151"/>
      <c r="CI11" s="150"/>
      <c r="CJ11" s="151"/>
      <c r="CW11" s="150"/>
      <c r="CX11" s="151"/>
    </row>
    <row r="12" spans="2:118" ht="15" customHeight="1" thickBot="1" x14ac:dyDescent="0.35">
      <c r="B12" s="150"/>
      <c r="C12" s="151"/>
      <c r="F12" s="152" t="s">
        <v>170</v>
      </c>
      <c r="G12" s="153"/>
      <c r="H12" s="152" t="s">
        <v>171</v>
      </c>
      <c r="I12" s="153"/>
      <c r="J12" s="152" t="s">
        <v>172</v>
      </c>
      <c r="K12" s="153"/>
      <c r="L12" s="152" t="s">
        <v>29</v>
      </c>
      <c r="M12" s="153"/>
      <c r="N12" s="152" t="s">
        <v>30</v>
      </c>
      <c r="O12" s="154"/>
      <c r="P12" s="152" t="s">
        <v>107</v>
      </c>
      <c r="Q12" s="153"/>
      <c r="R12" s="154"/>
      <c r="S12" s="152" t="s">
        <v>178</v>
      </c>
      <c r="T12" s="154"/>
      <c r="U12" s="171" t="s">
        <v>36</v>
      </c>
      <c r="V12" s="172"/>
      <c r="W12" s="152" t="s">
        <v>37</v>
      </c>
      <c r="X12" s="154"/>
      <c r="Y12" s="152" t="s">
        <v>38</v>
      </c>
      <c r="Z12" s="154"/>
      <c r="AA12" s="152" t="s">
        <v>39</v>
      </c>
      <c r="AB12" s="154"/>
      <c r="AC12" s="152" t="s">
        <v>107</v>
      </c>
      <c r="AD12" s="154"/>
      <c r="AE12" s="152" t="s">
        <v>77</v>
      </c>
      <c r="AF12" s="154"/>
      <c r="AG12" s="152" t="s">
        <v>42</v>
      </c>
      <c r="AH12" s="154"/>
      <c r="AI12" s="152" t="s">
        <v>43</v>
      </c>
      <c r="AJ12" s="154"/>
      <c r="AK12" s="152" t="s">
        <v>78</v>
      </c>
      <c r="AL12" s="154"/>
      <c r="AM12" s="152" t="s">
        <v>45</v>
      </c>
      <c r="AN12" s="154"/>
      <c r="AO12" s="152" t="s">
        <v>107</v>
      </c>
      <c r="AP12" s="154"/>
      <c r="AQ12" s="152" t="s">
        <v>47</v>
      </c>
      <c r="AR12" s="154"/>
      <c r="AS12" s="152" t="s">
        <v>106</v>
      </c>
      <c r="AT12" s="154"/>
      <c r="AU12" s="152" t="s">
        <v>79</v>
      </c>
      <c r="AV12" s="154"/>
      <c r="AW12" s="152" t="s">
        <v>50</v>
      </c>
      <c r="AX12" s="154"/>
      <c r="AY12" s="152" t="s">
        <v>51</v>
      </c>
      <c r="AZ12" s="154"/>
      <c r="BA12" s="152" t="s">
        <v>80</v>
      </c>
      <c r="BB12" s="154"/>
      <c r="BC12" s="152" t="s">
        <v>107</v>
      </c>
      <c r="BD12" s="154"/>
      <c r="BE12" s="152" t="s">
        <v>86</v>
      </c>
      <c r="BF12" s="154"/>
      <c r="BG12" s="152" t="s">
        <v>88</v>
      </c>
      <c r="BH12" s="154"/>
      <c r="BI12" s="152" t="s">
        <v>53</v>
      </c>
      <c r="BJ12" s="154"/>
      <c r="BK12" s="152" t="s">
        <v>81</v>
      </c>
      <c r="BL12" s="154"/>
      <c r="BM12" s="152" t="s">
        <v>55</v>
      </c>
      <c r="BN12" s="154"/>
      <c r="BO12" s="152" t="s">
        <v>87</v>
      </c>
      <c r="BP12" s="154"/>
      <c r="BQ12" s="152" t="s">
        <v>107</v>
      </c>
      <c r="BR12" s="154"/>
      <c r="BS12" s="152" t="s">
        <v>82</v>
      </c>
      <c r="BT12" s="154"/>
      <c r="BU12" s="152" t="s">
        <v>59</v>
      </c>
      <c r="BV12" s="154"/>
      <c r="BW12" s="152" t="s">
        <v>60</v>
      </c>
      <c r="BX12" s="154"/>
      <c r="BY12" s="152" t="s">
        <v>89</v>
      </c>
      <c r="BZ12" s="154"/>
      <c r="CA12" s="152" t="s">
        <v>62</v>
      </c>
      <c r="CB12" s="154"/>
      <c r="CC12" s="152" t="s">
        <v>63</v>
      </c>
      <c r="CD12" s="154"/>
      <c r="CE12" s="152" t="s">
        <v>64</v>
      </c>
      <c r="CF12" s="154"/>
      <c r="CG12" s="152" t="s">
        <v>107</v>
      </c>
      <c r="CH12" s="154"/>
      <c r="CI12" s="152" t="s">
        <v>65</v>
      </c>
      <c r="CJ12" s="154"/>
      <c r="CK12" s="152" t="s">
        <v>66</v>
      </c>
      <c r="CL12" s="154"/>
      <c r="CM12" s="152" t="s">
        <v>83</v>
      </c>
      <c r="CN12" s="154"/>
      <c r="CO12" s="152" t="s">
        <v>68</v>
      </c>
      <c r="CP12" s="154"/>
      <c r="CQ12" s="152" t="s">
        <v>69</v>
      </c>
      <c r="CR12" s="154"/>
      <c r="CS12" s="152" t="s">
        <v>70</v>
      </c>
      <c r="CT12" s="154"/>
      <c r="CU12" s="152" t="s">
        <v>107</v>
      </c>
      <c r="CV12" s="154"/>
      <c r="CW12" s="152" t="s">
        <v>71</v>
      </c>
      <c r="CX12" s="154"/>
      <c r="CY12" s="152" t="s">
        <v>72</v>
      </c>
      <c r="CZ12" s="154"/>
      <c r="DA12" s="152" t="s">
        <v>73</v>
      </c>
      <c r="DB12" s="154"/>
      <c r="DC12" s="152" t="s">
        <v>74</v>
      </c>
      <c r="DD12" s="154"/>
      <c r="DE12" s="152" t="s">
        <v>76</v>
      </c>
      <c r="DF12" s="154"/>
      <c r="DG12" s="152" t="s">
        <v>75</v>
      </c>
      <c r="DH12" s="154"/>
      <c r="DI12" s="152" t="s">
        <v>107</v>
      </c>
      <c r="DJ12" s="153"/>
      <c r="DK12" s="154"/>
      <c r="DL12" s="179" t="s">
        <v>195</v>
      </c>
      <c r="DM12" s="177" t="s">
        <v>199</v>
      </c>
      <c r="DN12" s="177" t="s">
        <v>198</v>
      </c>
    </row>
    <row r="13" spans="2:118" ht="15" thickBot="1" x14ac:dyDescent="0.35">
      <c r="B13" s="13" t="str">
        <f>'Semester 1'!B9</f>
        <v>No.</v>
      </c>
      <c r="C13" s="102" t="s">
        <v>92</v>
      </c>
      <c r="D13" s="102" t="str">
        <f>'Semester 1'!C9</f>
        <v>Name</v>
      </c>
      <c r="E13" s="102" t="s">
        <v>108</v>
      </c>
      <c r="F13" s="102" t="str">
        <f>'Semester 1'!G9</f>
        <v>Marks</v>
      </c>
      <c r="G13" s="102" t="str">
        <f>'Semester 1'!I9</f>
        <v>Grade</v>
      </c>
      <c r="H13" s="102" t="str">
        <f>'Semester 1'!N9</f>
        <v>Marks</v>
      </c>
      <c r="I13" s="102" t="str">
        <f>'Semester 1'!P9</f>
        <v>Grade</v>
      </c>
      <c r="J13" s="102" t="str">
        <f>'Semester 1'!U9</f>
        <v>Marks</v>
      </c>
      <c r="K13" s="102" t="str">
        <f>'Semester 1'!W9</f>
        <v>Grade</v>
      </c>
      <c r="L13" s="102" t="str">
        <f>'Semester 1'!AB9</f>
        <v>Marks</v>
      </c>
      <c r="M13" s="102" t="str">
        <f>'Semester 1'!AD9</f>
        <v>Grade</v>
      </c>
      <c r="N13" s="102" t="str">
        <f>'Semester 1'!AI9</f>
        <v>Marks</v>
      </c>
      <c r="O13" s="102" t="str">
        <f>'Semester 1'!AK9</f>
        <v>Grade</v>
      </c>
      <c r="P13" s="102" t="str">
        <f>'Semester 1'!AN9</f>
        <v>SGPA</v>
      </c>
      <c r="Q13" s="102" t="str">
        <f>'Semester 1'!AO9</f>
        <v>CGPA</v>
      </c>
      <c r="R13" s="102" t="str">
        <f>'Semester 1'!AP9</f>
        <v>CGPA Round Up</v>
      </c>
      <c r="S13" s="102" t="str">
        <f>'Semester 2'!G9</f>
        <v>Marks</v>
      </c>
      <c r="T13" s="102" t="str">
        <f>'Semester 2'!I9</f>
        <v>Grade</v>
      </c>
      <c r="U13" s="102" t="str">
        <f>'Semester 2'!N9</f>
        <v>Marks</v>
      </c>
      <c r="V13" s="102" t="str">
        <f>'Semester 2'!P9</f>
        <v>Grade</v>
      </c>
      <c r="W13" s="102" t="str">
        <f>'Semester 2'!U9</f>
        <v>Marks</v>
      </c>
      <c r="X13" s="102" t="str">
        <f>'Semester 2'!W9</f>
        <v>Grade</v>
      </c>
      <c r="Y13" s="102" t="str">
        <f>'Semester 2'!AB9</f>
        <v>Marks</v>
      </c>
      <c r="Z13" s="102" t="str">
        <f>'Semester 2'!AD9</f>
        <v>Grade</v>
      </c>
      <c r="AA13" s="102" t="str">
        <f>'Semester 2'!AI9</f>
        <v>Marks</v>
      </c>
      <c r="AB13" s="102" t="str">
        <f>'Semester 2'!AK9</f>
        <v>Grade</v>
      </c>
      <c r="AC13" s="102" t="str">
        <f>'Semester 2'!AN9</f>
        <v>SGPA</v>
      </c>
      <c r="AD13" s="102" t="str">
        <f>'Semester 2'!AO9</f>
        <v>CGPA</v>
      </c>
      <c r="AE13" s="102" t="str">
        <f>'Semester 3'!G9</f>
        <v>Marks</v>
      </c>
      <c r="AF13" s="102" t="str">
        <f>'Semester 3'!I9</f>
        <v>Grade</v>
      </c>
      <c r="AG13" s="102" t="str">
        <f>'Semester 3'!N9</f>
        <v>Marks</v>
      </c>
      <c r="AH13" s="102" t="str">
        <f>'Semester 3'!P9</f>
        <v>Grade</v>
      </c>
      <c r="AI13" s="102" t="str">
        <f>'Semester 3'!U9</f>
        <v>Marks</v>
      </c>
      <c r="AJ13" s="102" t="str">
        <f>'Semester 3'!W9</f>
        <v>Grade</v>
      </c>
      <c r="AK13" s="102" t="str">
        <f>'Semester 3'!AB9</f>
        <v>Marks</v>
      </c>
      <c r="AL13" s="102" t="str">
        <f>'Semester 3'!AD9</f>
        <v>Grade</v>
      </c>
      <c r="AM13" s="102" t="str">
        <f>'Semester 3'!AI9</f>
        <v>Marks</v>
      </c>
      <c r="AN13" s="102" t="str">
        <f>'Semester 3'!AK9</f>
        <v>Grade</v>
      </c>
      <c r="AO13" s="102" t="str">
        <f>'Semester 3'!AN9</f>
        <v>SGPA</v>
      </c>
      <c r="AP13" s="102" t="str">
        <f>'Semester 3'!AO9</f>
        <v>CGPA</v>
      </c>
      <c r="AQ13" s="102" t="str">
        <f>'Semester 4'!G9</f>
        <v>Marks</v>
      </c>
      <c r="AR13" s="102" t="str">
        <f>'Semester 4'!I9</f>
        <v>Grade</v>
      </c>
      <c r="AS13" s="102" t="str">
        <f>'Semester 4'!N9</f>
        <v>Marks</v>
      </c>
      <c r="AT13" s="102" t="str">
        <f>'Semester 4'!P9</f>
        <v>Grade</v>
      </c>
      <c r="AU13" s="102" t="str">
        <f>'Semester 4'!U9</f>
        <v>Marks</v>
      </c>
      <c r="AV13" s="102" t="str">
        <f>'Semester 4'!W9</f>
        <v>Grade</v>
      </c>
      <c r="AW13" s="102" t="str">
        <f>'Semester 4'!AB9</f>
        <v>Marks</v>
      </c>
      <c r="AX13" s="102" t="str">
        <f>'Semester 4'!AD9</f>
        <v>Grade</v>
      </c>
      <c r="AY13" s="102" t="str">
        <f>'Semester 4'!AI9</f>
        <v>Marks</v>
      </c>
      <c r="AZ13" s="102" t="str">
        <f>'Semester 4'!AK9</f>
        <v>Grade</v>
      </c>
      <c r="BA13" s="102" t="str">
        <f>'Semester 4'!AP9</f>
        <v>Marks</v>
      </c>
      <c r="BB13" s="102" t="str">
        <f>'Semester 4'!AR9</f>
        <v>Grade</v>
      </c>
      <c r="BC13" s="102" t="str">
        <f>'Semester 4'!AU9</f>
        <v>SGPA</v>
      </c>
      <c r="BD13" s="102" t="str">
        <f>'Semester 4'!AV9</f>
        <v>CGPA</v>
      </c>
      <c r="BE13" s="102" t="str">
        <f>'Semester 5'!G9</f>
        <v>Marks</v>
      </c>
      <c r="BF13" s="102" t="str">
        <f>'Semester 5'!I9</f>
        <v>Grade</v>
      </c>
      <c r="BG13" s="102" t="str">
        <f>'Semester 5'!N9</f>
        <v>Marks</v>
      </c>
      <c r="BH13" s="102" t="str">
        <f>'Semester 5'!P9</f>
        <v>Grade</v>
      </c>
      <c r="BI13" s="102" t="str">
        <f>'Semester 5'!U9</f>
        <v>Marks</v>
      </c>
      <c r="BJ13" s="102" t="str">
        <f>'Semester 5'!W9</f>
        <v>Grade</v>
      </c>
      <c r="BK13" s="102" t="str">
        <f>'Semester 5'!AB9</f>
        <v>Marks</v>
      </c>
      <c r="BL13" s="102" t="str">
        <f>'Semester 5'!AD9</f>
        <v>Grade</v>
      </c>
      <c r="BM13" s="102" t="str">
        <f>'Semester 5'!AI9</f>
        <v>Marks</v>
      </c>
      <c r="BN13" s="102" t="str">
        <f>'Semester 5'!AK9</f>
        <v>Grade</v>
      </c>
      <c r="BO13" s="102" t="str">
        <f>'Semester 5'!AP9</f>
        <v>Marks</v>
      </c>
      <c r="BP13" s="102" t="str">
        <f>'Semester 5'!AR9</f>
        <v>Grade</v>
      </c>
      <c r="BQ13" s="102" t="str">
        <f>'Semester 5'!AU9</f>
        <v>SGPA</v>
      </c>
      <c r="BR13" s="102" t="str">
        <f>'Semester 5'!AV9</f>
        <v>CGPA</v>
      </c>
      <c r="BS13" s="102" t="str">
        <f>'Semester 6'!G9</f>
        <v>Marks</v>
      </c>
      <c r="BT13" s="102" t="str">
        <f>'Semester 6'!I9</f>
        <v>Grade</v>
      </c>
      <c r="BU13" s="102" t="str">
        <f>'Semester 6'!N9</f>
        <v>Marks</v>
      </c>
      <c r="BV13" s="102" t="str">
        <f>'Semester 6'!P9</f>
        <v>Grade</v>
      </c>
      <c r="BW13" s="102" t="str">
        <f>'Semester 6'!U9</f>
        <v>Marks</v>
      </c>
      <c r="BX13" s="102" t="str">
        <f>'Semester 6'!W9</f>
        <v>Grade</v>
      </c>
      <c r="BY13" s="102" t="str">
        <f>'Semester 6'!AB9</f>
        <v>Marks</v>
      </c>
      <c r="BZ13" s="102" t="str">
        <f>'Semester 6'!AD9</f>
        <v>Grade</v>
      </c>
      <c r="CA13" s="102" t="str">
        <f>'Semester 6'!AI9</f>
        <v>Marks</v>
      </c>
      <c r="CB13" s="102" t="str">
        <f>'Semester 6'!AK9</f>
        <v>Grade</v>
      </c>
      <c r="CC13" s="102" t="str">
        <f>'Semester 6'!AP9</f>
        <v>Marks</v>
      </c>
      <c r="CD13" s="102" t="str">
        <f>'Semester 6'!AR9</f>
        <v>Grade</v>
      </c>
      <c r="CE13" s="102" t="str">
        <f>'Semester 6'!AW9</f>
        <v>Marks</v>
      </c>
      <c r="CF13" s="102" t="str">
        <f>'Semester 6'!AY9</f>
        <v>Grade</v>
      </c>
      <c r="CG13" s="102" t="str">
        <f>'Semester 6'!BB9</f>
        <v>SGPA</v>
      </c>
      <c r="CH13" s="102" t="str">
        <f>'Semester 6'!BC9</f>
        <v>CGPA</v>
      </c>
      <c r="CI13" s="102" t="str">
        <f>'Semester 7'!G9</f>
        <v>Marks</v>
      </c>
      <c r="CJ13" s="102" t="str">
        <f>'Semester 7'!I9</f>
        <v>Grade</v>
      </c>
      <c r="CK13" s="102" t="str">
        <f>'Semester 7'!N9</f>
        <v>Marks</v>
      </c>
      <c r="CL13" s="102" t="str">
        <f>'Semester 7'!P9</f>
        <v>Grade</v>
      </c>
      <c r="CM13" s="102" t="str">
        <f>'Semester 7'!U9</f>
        <v>Marks</v>
      </c>
      <c r="CN13" s="102" t="str">
        <f>'Semester 7'!W9</f>
        <v>Grade</v>
      </c>
      <c r="CO13" s="102" t="str">
        <f>'Semester 7'!AB9</f>
        <v>Marks</v>
      </c>
      <c r="CP13" s="102" t="str">
        <f>'Semester 7'!AD9</f>
        <v>Grade</v>
      </c>
      <c r="CQ13" s="102" t="str">
        <f>'Semester 7'!AI9</f>
        <v>Marks</v>
      </c>
      <c r="CR13" s="102" t="str">
        <f>'Semester 7'!AK9</f>
        <v>Grade</v>
      </c>
      <c r="CS13" s="102" t="str">
        <f>'Semester 7'!AP9</f>
        <v>Marks</v>
      </c>
      <c r="CT13" s="102" t="str">
        <f>'Semester 7'!AR9</f>
        <v>Grade</v>
      </c>
      <c r="CU13" s="102" t="str">
        <f>'Semester 7'!AU9</f>
        <v>SGPA</v>
      </c>
      <c r="CV13" s="102" t="str">
        <f>'Semester 7'!AV9</f>
        <v>CGPA</v>
      </c>
      <c r="CW13" s="102" t="str">
        <f>'Semester 8'!G9</f>
        <v>Marks</v>
      </c>
      <c r="CX13" s="102" t="str">
        <f>'Semester 8'!I9</f>
        <v>Grade</v>
      </c>
      <c r="CY13" s="102" t="str">
        <f>'Semester 8'!N9</f>
        <v>Marks</v>
      </c>
      <c r="CZ13" s="102" t="str">
        <f>'Semester 8'!P9</f>
        <v>Grade</v>
      </c>
      <c r="DA13" s="102" t="str">
        <f>'Semester 8'!U9</f>
        <v>Marks</v>
      </c>
      <c r="DB13" s="102" t="str">
        <f>'Semester 8'!W9</f>
        <v>Grade</v>
      </c>
      <c r="DC13" s="102" t="str">
        <f>'Semester 8'!AB9</f>
        <v>Marks</v>
      </c>
      <c r="DD13" s="102" t="str">
        <f>'Semester 8'!AD9</f>
        <v>Grade</v>
      </c>
      <c r="DE13" s="102" t="str">
        <f>'Semester 8'!AI9</f>
        <v>Marks</v>
      </c>
      <c r="DF13" s="102" t="str">
        <f>'Semester 8'!AK9</f>
        <v>Grade</v>
      </c>
      <c r="DG13" s="102" t="str">
        <f>'Semester 8'!AP9</f>
        <v>Marks</v>
      </c>
      <c r="DH13" s="102" t="str">
        <f>'Semester 8'!AR9</f>
        <v>Grade</v>
      </c>
      <c r="DI13" s="102" t="str">
        <f>'Semester 8'!AU9</f>
        <v>SGPA</v>
      </c>
      <c r="DJ13" s="102" t="str">
        <f>'Semester 8'!AV9</f>
        <v>CGPA</v>
      </c>
      <c r="DK13" s="102" t="s">
        <v>93</v>
      </c>
      <c r="DL13" s="180"/>
      <c r="DM13" s="178"/>
      <c r="DN13" s="178"/>
    </row>
    <row r="14" spans="2:118" x14ac:dyDescent="0.3">
      <c r="B14">
        <f>'Semester 1'!B10</f>
        <v>1</v>
      </c>
      <c r="C14" t="s">
        <v>109</v>
      </c>
      <c r="D14" t="str">
        <f>'Semester 1'!C10</f>
        <v>Muhammad Ali</v>
      </c>
      <c r="E14" s="48" t="s">
        <v>213</v>
      </c>
      <c r="F14" s="128">
        <f>'Semester 1'!G10</f>
        <v>86</v>
      </c>
      <c r="G14" s="131" t="str">
        <f>'Semester 1'!I10</f>
        <v>A</v>
      </c>
      <c r="H14" s="128">
        <f>'Semester 1'!N10</f>
        <v>88</v>
      </c>
      <c r="I14" s="131" t="str">
        <f>'Semester 1'!P10</f>
        <v>A</v>
      </c>
      <c r="J14" s="128">
        <f>'Semester 1'!U10</f>
        <v>88</v>
      </c>
      <c r="K14" s="131" t="str">
        <f>'Semester 1'!W10</f>
        <v>A</v>
      </c>
      <c r="L14" s="128">
        <f>'Semester 1'!AB10</f>
        <v>84</v>
      </c>
      <c r="M14" s="131" t="str">
        <f>'Semester 1'!AD10</f>
        <v>A</v>
      </c>
      <c r="N14" s="128">
        <f>'Semester 1'!AI10</f>
        <v>85</v>
      </c>
      <c r="O14" s="131" t="str">
        <f>'Semester 1'!AK10</f>
        <v>A</v>
      </c>
      <c r="P14" s="48">
        <f>'Semester 1'!AN10</f>
        <v>4</v>
      </c>
      <c r="Q14" s="48">
        <f>'Semester 1'!AO10</f>
        <v>4</v>
      </c>
      <c r="R14" s="131">
        <f>'Semester 1'!AP10</f>
        <v>4</v>
      </c>
      <c r="S14" s="48">
        <f>'Semester 2'!G10</f>
        <v>83</v>
      </c>
      <c r="T14" s="131" t="str">
        <f>'Semester 2'!I10</f>
        <v>A</v>
      </c>
      <c r="U14" s="128">
        <f>'Semester 2'!N10</f>
        <v>83</v>
      </c>
      <c r="V14" s="131" t="str">
        <f>'Semester 2'!P10</f>
        <v>A</v>
      </c>
      <c r="W14" s="128">
        <f>'Semester 2'!U10</f>
        <v>77</v>
      </c>
      <c r="X14" s="131" t="str">
        <f>'Semester 2'!W10</f>
        <v>B</v>
      </c>
      <c r="Y14" s="128">
        <f>'Semester 2'!AB10</f>
        <v>77</v>
      </c>
      <c r="Z14" s="131" t="str">
        <f>'Semester 2'!AD10</f>
        <v>B</v>
      </c>
      <c r="AA14" s="128">
        <f>'Semester 2'!AI10</f>
        <v>74</v>
      </c>
      <c r="AB14" s="131" t="str">
        <f>'Semester 2'!AK10</f>
        <v>B</v>
      </c>
      <c r="AC14" s="134">
        <f>'Semester 2'!AN10</f>
        <v>3.4285714285714284</v>
      </c>
      <c r="AD14" s="135">
        <f>'Semester 2'!AO10</f>
        <v>3.7142857142857144</v>
      </c>
      <c r="AE14" s="128">
        <f>'Semester 3'!G10</f>
        <v>70</v>
      </c>
      <c r="AF14" s="131" t="str">
        <f>'Semester 3'!I10</f>
        <v>B</v>
      </c>
      <c r="AG14" s="128">
        <f>'Semester 3'!N10</f>
        <v>83</v>
      </c>
      <c r="AH14" s="131" t="str">
        <f>'Semester 3'!P10</f>
        <v>A</v>
      </c>
      <c r="AI14" s="128">
        <f>'Semester 3'!U10</f>
        <v>74</v>
      </c>
      <c r="AJ14" s="131" t="str">
        <f>'Semester 3'!W10</f>
        <v>B</v>
      </c>
      <c r="AK14" s="128">
        <f>'Semester 3'!AB10</f>
        <v>74</v>
      </c>
      <c r="AL14" s="131" t="str">
        <f>'Semester 3'!AD10</f>
        <v>B</v>
      </c>
      <c r="AM14" s="128">
        <f>'Semester 3'!AI10</f>
        <v>64</v>
      </c>
      <c r="AN14" s="131" t="str">
        <f>'Semester 3'!AK10</f>
        <v>C</v>
      </c>
      <c r="AO14" s="128">
        <f>'Semester 3'!AN10</f>
        <v>3</v>
      </c>
      <c r="AP14" s="135">
        <f>'Semester 3'!AO10</f>
        <v>3.285714285714286</v>
      </c>
      <c r="AQ14" s="128">
        <f>'Semester 4'!G10</f>
        <v>73</v>
      </c>
      <c r="AR14" s="131" t="str">
        <f>'Semester 4'!I10</f>
        <v>B</v>
      </c>
      <c r="AS14" s="128">
        <f>'Semester 4'!N10</f>
        <v>74</v>
      </c>
      <c r="AT14" s="131" t="str">
        <f>'Semester 4'!P10</f>
        <v>B</v>
      </c>
      <c r="AU14" s="128">
        <f>'Semester 4'!U10</f>
        <v>82</v>
      </c>
      <c r="AV14" s="131" t="str">
        <f>'Semester 4'!W10</f>
        <v>A</v>
      </c>
      <c r="AW14" s="128">
        <f>'Semester 4'!AB10</f>
        <v>82</v>
      </c>
      <c r="AX14" s="131" t="str">
        <f>'Semester 4'!AD10</f>
        <v>A</v>
      </c>
      <c r="AY14" s="128">
        <f>'Semester 4'!AI10</f>
        <v>78</v>
      </c>
      <c r="AZ14" s="131" t="str">
        <f>'Semester 4'!AK10</f>
        <v>B</v>
      </c>
      <c r="BA14" s="128">
        <f>'Semester 4'!AP10</f>
        <v>70</v>
      </c>
      <c r="BB14" s="131" t="str">
        <f>'Semester 4'!AR10</f>
        <v>B</v>
      </c>
      <c r="BC14" s="134">
        <f>'Semester 4'!AU10</f>
        <v>3.3333333333333335</v>
      </c>
      <c r="BD14" s="135">
        <f>'Semester 4'!AV10</f>
        <v>3.4404761904761907</v>
      </c>
      <c r="BE14" s="128">
        <f>'Semester 5'!G10</f>
        <v>75</v>
      </c>
      <c r="BF14" s="131" t="str">
        <f>'Semester 5'!I10</f>
        <v>B</v>
      </c>
      <c r="BG14" s="128">
        <f>'Semester 5'!N10</f>
        <v>72</v>
      </c>
      <c r="BH14" s="131" t="str">
        <f>'Semester 5'!P10</f>
        <v>B</v>
      </c>
      <c r="BI14" s="128">
        <f>'Semester 5'!U10</f>
        <v>87</v>
      </c>
      <c r="BJ14" s="131" t="str">
        <f>'Semester 5'!W10</f>
        <v>A</v>
      </c>
      <c r="BK14" s="128">
        <f>'Semester 5'!AB10</f>
        <v>84</v>
      </c>
      <c r="BL14" s="131" t="str">
        <f>'Semester 5'!AD10</f>
        <v>A</v>
      </c>
      <c r="BM14" s="128">
        <f>'Semester 5'!AI10</f>
        <v>85</v>
      </c>
      <c r="BN14" s="131" t="str">
        <f>'Semester 5'!AK10</f>
        <v>A</v>
      </c>
      <c r="BO14" s="128">
        <f>'Semester 5'!AP10</f>
        <v>68</v>
      </c>
      <c r="BP14" s="131" t="str">
        <f>'Semester 5'!AR10</f>
        <v>C</v>
      </c>
      <c r="BQ14" s="134">
        <f>'Semester 5'!AU10</f>
        <v>3.3333333333333335</v>
      </c>
      <c r="BR14" s="135">
        <f>'Semester 5'!AV10</f>
        <v>3.4190476190476189</v>
      </c>
      <c r="BS14" s="128">
        <f>'Semester 6'!G10</f>
        <v>76</v>
      </c>
      <c r="BT14" s="131" t="str">
        <f>'Semester 6'!I10</f>
        <v>B</v>
      </c>
      <c r="BU14" s="128">
        <f>'Semester 6'!N10</f>
        <v>81</v>
      </c>
      <c r="BV14" s="131" t="str">
        <f>'Semester 6'!P10</f>
        <v>A</v>
      </c>
      <c r="BW14" s="128">
        <f>'Semester 6'!U10</f>
        <v>73</v>
      </c>
      <c r="BX14" s="131" t="str">
        <f>'Semester 6'!W10</f>
        <v>B</v>
      </c>
      <c r="BY14" s="128">
        <f>'Semester 6'!AB10</f>
        <v>69</v>
      </c>
      <c r="BZ14" s="131" t="str">
        <f>'Semester 6'!AD10</f>
        <v>C</v>
      </c>
      <c r="CA14" s="128">
        <f>'Semester 6'!AI10</f>
        <v>67</v>
      </c>
      <c r="CB14" s="131" t="str">
        <f>'Semester 6'!AK10</f>
        <v>C</v>
      </c>
      <c r="CC14" s="128">
        <f>'Semester 6'!AP10</f>
        <v>69</v>
      </c>
      <c r="CD14" s="131" t="str">
        <f>'Semester 6'!AR10</f>
        <v>C</v>
      </c>
      <c r="CE14" s="128">
        <f>'Semester 6'!AW10</f>
        <v>86</v>
      </c>
      <c r="CF14" s="131" t="str">
        <f>'Semester 6'!AY10</f>
        <v>A</v>
      </c>
      <c r="CG14" s="134">
        <f>'Semester 6'!BB10</f>
        <v>2.8888888888888888</v>
      </c>
      <c r="CH14" s="135">
        <f>'Semester 6'!BC10</f>
        <v>3.3306878306878307</v>
      </c>
      <c r="CI14" s="128">
        <f>'Semester 7'!G10</f>
        <v>65</v>
      </c>
      <c r="CJ14" s="131" t="str">
        <f>'Semester 7'!I10</f>
        <v>C</v>
      </c>
      <c r="CK14" s="128">
        <f>'Semester 7'!N10</f>
        <v>68</v>
      </c>
      <c r="CL14" s="131" t="str">
        <f>'Semester 7'!P10</f>
        <v>C</v>
      </c>
      <c r="CM14" s="128">
        <f>'Semester 7'!U10</f>
        <v>71</v>
      </c>
      <c r="CN14" s="131" t="str">
        <f>'Semester 7'!W10</f>
        <v>B</v>
      </c>
      <c r="CO14" s="128">
        <f>'Semester 7'!AB10</f>
        <v>68</v>
      </c>
      <c r="CP14" s="131" t="str">
        <f>'Semester 7'!AD10</f>
        <v>C</v>
      </c>
      <c r="CQ14" s="128">
        <f>'Semester 7'!AI10</f>
        <v>71</v>
      </c>
      <c r="CR14" s="131" t="str">
        <f>'Semester 7'!AK10</f>
        <v>B</v>
      </c>
      <c r="CS14" s="128">
        <f>'Semester 7'!AP10</f>
        <v>63</v>
      </c>
      <c r="CT14" s="131" t="str">
        <f>'Semester 7'!AR10</f>
        <v>C</v>
      </c>
      <c r="CU14" s="134">
        <f>'Semester 7'!AU10</f>
        <v>2.3333333333333335</v>
      </c>
      <c r="CV14" s="135">
        <f>'Semester 7'!AV10</f>
        <v>3.1882086167800452</v>
      </c>
      <c r="CW14" s="128">
        <f>'Semester 8'!G10</f>
        <v>66</v>
      </c>
      <c r="CX14" s="131" t="str">
        <f>'Semester 8'!I10</f>
        <v>C</v>
      </c>
      <c r="CY14" s="128">
        <f>'Semester 8'!N10</f>
        <v>78</v>
      </c>
      <c r="CZ14" s="131" t="str">
        <f>'Semester 8'!P10</f>
        <v>B</v>
      </c>
      <c r="DA14" s="128">
        <f>'Semester 8'!U10</f>
        <v>80</v>
      </c>
      <c r="DB14" s="131" t="str">
        <f>'Semester 8'!W10</f>
        <v>A</v>
      </c>
      <c r="DC14" s="128">
        <f>'Semester 8'!AB10</f>
        <v>79</v>
      </c>
      <c r="DD14" s="131" t="str">
        <f>'Semester 8'!AD10</f>
        <v>B</v>
      </c>
      <c r="DE14" s="128">
        <f>'Semester 8'!AI10</f>
        <v>84</v>
      </c>
      <c r="DF14" s="131" t="str">
        <f>'Semester 8'!AK10</f>
        <v>A</v>
      </c>
      <c r="DG14" s="128">
        <f>'Semester 8'!AP10</f>
        <v>88</v>
      </c>
      <c r="DH14" s="131" t="str">
        <f>'Semester 8'!AR10</f>
        <v>A</v>
      </c>
      <c r="DI14" s="134">
        <f>'Semester 8'!AU10</f>
        <v>3.3333333333333335</v>
      </c>
      <c r="DJ14" s="140">
        <f>'Semester 8'!AV10</f>
        <v>3.2063492063492061</v>
      </c>
      <c r="DK14" s="131" t="str">
        <f>IF(LARGE($DJ$14:$DJ$23,1)=DJ14,"Gold",IF(LARGE($DJ$14:$DJ$23,2)=DJ14,"Silver",IF(LARGE($DJ$14:$DJ$23,3)=DJ14,"Bronze","NIL")))</f>
        <v>Silver</v>
      </c>
      <c r="DL14" s="48" t="str">
        <f>IF(COUNTIF(F14:DJ14,"F")&gt;0,"F","")</f>
        <v/>
      </c>
      <c r="DM14" s="48">
        <f>COUNTIF(B14:DK14,"F")</f>
        <v>0</v>
      </c>
      <c r="DN14" s="48">
        <f>DM14*3</f>
        <v>0</v>
      </c>
    </row>
    <row r="15" spans="2:118" x14ac:dyDescent="0.3">
      <c r="B15">
        <f>'Semester 1'!B11</f>
        <v>2</v>
      </c>
      <c r="C15" t="s">
        <v>113</v>
      </c>
      <c r="D15" t="str">
        <f>'Semester 1'!C11</f>
        <v>Ali Ahmed</v>
      </c>
      <c r="E15" s="48" t="s">
        <v>211</v>
      </c>
      <c r="F15" s="129">
        <f>'Semester 1'!G11</f>
        <v>55</v>
      </c>
      <c r="G15" s="132" t="str">
        <f>'Semester 1'!I11</f>
        <v>D</v>
      </c>
      <c r="H15" s="129">
        <f>'Semester 1'!N11</f>
        <v>80</v>
      </c>
      <c r="I15" s="132" t="str">
        <f>'Semester 1'!P11</f>
        <v>A</v>
      </c>
      <c r="J15" s="129">
        <f>'Semester 1'!U11</f>
        <v>70</v>
      </c>
      <c r="K15" s="132" t="str">
        <f>'Semester 1'!W11</f>
        <v>B</v>
      </c>
      <c r="L15" s="129">
        <f>'Semester 1'!AB11</f>
        <v>69</v>
      </c>
      <c r="M15" s="132" t="str">
        <f>'Semester 1'!AD11</f>
        <v>C</v>
      </c>
      <c r="N15" s="129">
        <f>'Semester 1'!AI11</f>
        <v>84</v>
      </c>
      <c r="O15" s="132" t="str">
        <f>'Semester 1'!AK11</f>
        <v>A</v>
      </c>
      <c r="P15" s="48">
        <f>'Semester 1'!AN11</f>
        <v>2.8571428571428572</v>
      </c>
      <c r="Q15" s="48">
        <f>'Semester 1'!AO11</f>
        <v>2.8571428571428572</v>
      </c>
      <c r="R15" s="132">
        <f>'Semester 1'!AP11</f>
        <v>2.86</v>
      </c>
      <c r="S15" s="48">
        <f>'Semester 2'!G11</f>
        <v>53</v>
      </c>
      <c r="T15" s="132" t="str">
        <f>'Semester 2'!I11</f>
        <v>D</v>
      </c>
      <c r="U15" s="129">
        <f>'Semester 2'!N11</f>
        <v>75</v>
      </c>
      <c r="V15" s="132" t="str">
        <f>'Semester 2'!P11</f>
        <v>B</v>
      </c>
      <c r="W15" s="129">
        <f>'Semester 2'!U11</f>
        <v>71</v>
      </c>
      <c r="X15" s="132" t="str">
        <f>'Semester 2'!W11</f>
        <v>B</v>
      </c>
      <c r="Y15" s="129">
        <f>'Semester 2'!AB11</f>
        <v>70</v>
      </c>
      <c r="Z15" s="132" t="str">
        <f>'Semester 2'!AD11</f>
        <v>B</v>
      </c>
      <c r="AA15" s="129">
        <f>'Semester 2'!AI11</f>
        <v>64</v>
      </c>
      <c r="AB15" s="132" t="str">
        <f>'Semester 2'!AK11</f>
        <v>C</v>
      </c>
      <c r="AC15" s="136">
        <f>'Semester 2'!AN11</f>
        <v>2.4285714285714284</v>
      </c>
      <c r="AD15" s="137">
        <f>'Semester 2'!AO11</f>
        <v>2.6442857142857141</v>
      </c>
      <c r="AE15" s="129">
        <f>'Semester 3'!G11</f>
        <v>76</v>
      </c>
      <c r="AF15" s="132" t="str">
        <f>'Semester 3'!I11</f>
        <v>B</v>
      </c>
      <c r="AG15" s="129">
        <f>'Semester 3'!N11</f>
        <v>68</v>
      </c>
      <c r="AH15" s="132" t="str">
        <f>'Semester 3'!P11</f>
        <v>C</v>
      </c>
      <c r="AI15" s="129">
        <f>'Semester 3'!U11</f>
        <v>91</v>
      </c>
      <c r="AJ15" s="132" t="str">
        <f>'Semester 3'!W11</f>
        <v>A</v>
      </c>
      <c r="AK15" s="129">
        <f>'Semester 3'!AB11</f>
        <v>64</v>
      </c>
      <c r="AL15" s="132" t="str">
        <f>'Semester 3'!AD11</f>
        <v>C</v>
      </c>
      <c r="AM15" s="129">
        <f>'Semester 3'!AI11</f>
        <v>66</v>
      </c>
      <c r="AN15" s="132" t="str">
        <f>'Semester 3'!AK11</f>
        <v>C</v>
      </c>
      <c r="AO15" s="129">
        <f>'Semester 3'!AN11</f>
        <v>2.6</v>
      </c>
      <c r="AP15" s="137">
        <f>'Semester 3'!AO11</f>
        <v>2.5333333333333332</v>
      </c>
      <c r="AQ15" s="129">
        <f>'Semester 4'!G11</f>
        <v>67</v>
      </c>
      <c r="AR15" s="132" t="str">
        <f>'Semester 4'!I11</f>
        <v>C</v>
      </c>
      <c r="AS15" s="129">
        <f>'Semester 4'!N11</f>
        <v>89</v>
      </c>
      <c r="AT15" s="132" t="str">
        <f>'Semester 4'!P11</f>
        <v>A</v>
      </c>
      <c r="AU15" s="129">
        <f>'Semester 4'!U11</f>
        <v>80</v>
      </c>
      <c r="AV15" s="132" t="str">
        <f>'Semester 4'!W11</f>
        <v>A</v>
      </c>
      <c r="AW15" s="129">
        <f>'Semester 4'!AB11</f>
        <v>79</v>
      </c>
      <c r="AX15" s="132" t="str">
        <f>'Semester 4'!AD11</f>
        <v>B</v>
      </c>
      <c r="AY15" s="129">
        <f>'Semester 4'!AI11</f>
        <v>65</v>
      </c>
      <c r="AZ15" s="132" t="str">
        <f>'Semester 4'!AK11</f>
        <v>C</v>
      </c>
      <c r="BA15" s="129">
        <f>'Semester 4'!AP11</f>
        <v>59</v>
      </c>
      <c r="BB15" s="132" t="str">
        <f>'Semester 4'!AR11</f>
        <v>D</v>
      </c>
      <c r="BC15" s="136">
        <f>'Semester 4'!AU11</f>
        <v>2.6666666666666665</v>
      </c>
      <c r="BD15" s="137">
        <f>'Semester 4'!AV11</f>
        <v>2.638095238095238</v>
      </c>
      <c r="BE15" s="129">
        <f>'Semester 5'!G11</f>
        <v>55</v>
      </c>
      <c r="BF15" s="132" t="str">
        <f>'Semester 5'!I11</f>
        <v>D</v>
      </c>
      <c r="BG15" s="129">
        <f>'Semester 5'!N11</f>
        <v>75</v>
      </c>
      <c r="BH15" s="132" t="str">
        <f>'Semester 5'!P11</f>
        <v>B</v>
      </c>
      <c r="BI15" s="129">
        <f>'Semester 5'!U11</f>
        <v>69</v>
      </c>
      <c r="BJ15" s="132" t="str">
        <f>'Semester 5'!W11</f>
        <v>C</v>
      </c>
      <c r="BK15" s="129">
        <f>'Semester 5'!AB11</f>
        <v>70</v>
      </c>
      <c r="BL15" s="132" t="str">
        <f>'Semester 5'!AD11</f>
        <v>B</v>
      </c>
      <c r="BM15" s="129">
        <f>'Semester 5'!AI11</f>
        <v>69</v>
      </c>
      <c r="BN15" s="132" t="str">
        <f>'Semester 5'!AK11</f>
        <v>C</v>
      </c>
      <c r="BO15" s="129">
        <f>'Semester 5'!AP11</f>
        <v>72</v>
      </c>
      <c r="BP15" s="132" t="str">
        <f>'Semester 5'!AR11</f>
        <v>B</v>
      </c>
      <c r="BQ15" s="136">
        <f>'Semester 5'!AU11</f>
        <v>2.3333333333333335</v>
      </c>
      <c r="BR15" s="137">
        <f>'Semester 5'!AV11</f>
        <v>2.577142857142857</v>
      </c>
      <c r="BS15" s="129">
        <f>'Semester 6'!G11</f>
        <v>67</v>
      </c>
      <c r="BT15" s="132" t="str">
        <f>'Semester 6'!I11</f>
        <v>C</v>
      </c>
      <c r="BU15" s="129">
        <f>'Semester 6'!N11</f>
        <v>68</v>
      </c>
      <c r="BV15" s="132" t="str">
        <f>'Semester 6'!P11</f>
        <v>C</v>
      </c>
      <c r="BW15" s="129">
        <f>'Semester 6'!U11</f>
        <v>65</v>
      </c>
      <c r="BX15" s="132" t="str">
        <f>'Semester 6'!W11</f>
        <v>C</v>
      </c>
      <c r="BY15" s="129">
        <f>'Semester 6'!AB11</f>
        <v>73</v>
      </c>
      <c r="BZ15" s="132" t="str">
        <f>'Semester 6'!AD11</f>
        <v>B</v>
      </c>
      <c r="CA15" s="129">
        <f>'Semester 6'!AI11</f>
        <v>73</v>
      </c>
      <c r="CB15" s="132" t="str">
        <f>'Semester 6'!AK11</f>
        <v>B</v>
      </c>
      <c r="CC15" s="129">
        <f>'Semester 6'!AP11</f>
        <v>75</v>
      </c>
      <c r="CD15" s="132" t="str">
        <f>'Semester 6'!AR11</f>
        <v>B</v>
      </c>
      <c r="CE15" s="129">
        <f>'Semester 6'!AW11</f>
        <v>66</v>
      </c>
      <c r="CF15" s="132" t="str">
        <f>'Semester 6'!AY11</f>
        <v>C</v>
      </c>
      <c r="CG15" s="136">
        <f>'Semester 6'!BB11</f>
        <v>2.3888888888888888</v>
      </c>
      <c r="CH15" s="137">
        <f>'Semester 6'!BC11</f>
        <v>2.5457671957671955</v>
      </c>
      <c r="CI15" s="129">
        <f>'Semester 7'!G11</f>
        <v>72</v>
      </c>
      <c r="CJ15" s="132" t="str">
        <f>'Semester 7'!I11</f>
        <v>B</v>
      </c>
      <c r="CK15" s="129">
        <f>'Semester 7'!N11</f>
        <v>77</v>
      </c>
      <c r="CL15" s="132" t="str">
        <f>'Semester 7'!P11</f>
        <v>B</v>
      </c>
      <c r="CM15" s="129">
        <f>'Semester 7'!U11</f>
        <v>75</v>
      </c>
      <c r="CN15" s="132" t="str">
        <f>'Semester 7'!W11</f>
        <v>B</v>
      </c>
      <c r="CO15" s="129">
        <f>'Semester 7'!AB11</f>
        <v>68</v>
      </c>
      <c r="CP15" s="132" t="str">
        <f>'Semester 7'!AD11</f>
        <v>C</v>
      </c>
      <c r="CQ15" s="129">
        <f>'Semester 7'!AI11</f>
        <v>68</v>
      </c>
      <c r="CR15" s="132" t="str">
        <f>'Semester 7'!AK11</f>
        <v>C</v>
      </c>
      <c r="CS15" s="129">
        <f>'Semester 7'!AP11</f>
        <v>62</v>
      </c>
      <c r="CT15" s="132" t="str">
        <f>'Semester 7'!AR11</f>
        <v>C</v>
      </c>
      <c r="CU15" s="136">
        <f>'Semester 7'!AU11</f>
        <v>2.5</v>
      </c>
      <c r="CV15" s="137">
        <f>'Semester 7'!AV11</f>
        <v>2.5392290249433107</v>
      </c>
      <c r="CW15" s="129">
        <f>'Semester 8'!G11</f>
        <v>56</v>
      </c>
      <c r="CX15" s="132" t="str">
        <f>'Semester 8'!I11</f>
        <v>D</v>
      </c>
      <c r="CY15" s="129">
        <f>'Semester 8'!N11</f>
        <v>66</v>
      </c>
      <c r="CZ15" s="132" t="str">
        <f>'Semester 8'!P11</f>
        <v>C</v>
      </c>
      <c r="DA15" s="129">
        <f>'Semester 8'!U11</f>
        <v>50</v>
      </c>
      <c r="DB15" s="132" t="str">
        <f>'Semester 8'!W11</f>
        <v>D</v>
      </c>
      <c r="DC15" s="129">
        <f>'Semester 8'!AB11</f>
        <v>61</v>
      </c>
      <c r="DD15" s="132" t="str">
        <f>'Semester 8'!AD11</f>
        <v>C</v>
      </c>
      <c r="DE15" s="129">
        <f>'Semester 8'!AI11</f>
        <v>57</v>
      </c>
      <c r="DF15" s="132" t="str">
        <f>'Semester 8'!AK11</f>
        <v>D</v>
      </c>
      <c r="DG15" s="129">
        <f>'Semester 8'!AP11</f>
        <v>56</v>
      </c>
      <c r="DH15" s="132" t="str">
        <f>'Semester 8'!AR11</f>
        <v>D</v>
      </c>
      <c r="DI15" s="136">
        <f>'Semester 8'!AU11</f>
        <v>1.3333333333333333</v>
      </c>
      <c r="DJ15" s="98">
        <f>'Semester 8'!AV11</f>
        <v>2.3884920634920634</v>
      </c>
      <c r="DK15" s="141" t="str">
        <f t="shared" ref="DK15:DK23" si="0">IF(LARGE($DJ$14:$DJ$23,1)=DJ15,"Gold",IF(LARGE($DJ$14:$DJ$23,2)=DJ15,"Silver",IF(LARGE($DJ$14:$DJ$23,3)=DJ15,"Bronze","NIL")))</f>
        <v>NIL</v>
      </c>
      <c r="DL15" s="48" t="str">
        <f t="shared" ref="DL15:DL23" si="1">IF(COUNTIF(F15:DJ15,"F")&gt;0,"F","")</f>
        <v/>
      </c>
      <c r="DM15" s="48">
        <f t="shared" ref="DM15:DM23" si="2">COUNTIF(B15:DK15,"F")</f>
        <v>0</v>
      </c>
      <c r="DN15" s="48">
        <f t="shared" ref="DN15:DN23" si="3">DM15*3</f>
        <v>0</v>
      </c>
    </row>
    <row r="16" spans="2:118" x14ac:dyDescent="0.3">
      <c r="B16">
        <f>'Semester 1'!B12</f>
        <v>3</v>
      </c>
      <c r="C16" t="s">
        <v>114</v>
      </c>
      <c r="D16" t="str">
        <f>'Semester 1'!C12</f>
        <v>Usman Khan</v>
      </c>
      <c r="E16" s="48" t="s">
        <v>216</v>
      </c>
      <c r="F16" s="129">
        <f>'Semester 1'!G12</f>
        <v>70</v>
      </c>
      <c r="G16" s="132" t="str">
        <f>'Semester 1'!I12</f>
        <v>B</v>
      </c>
      <c r="H16" s="129">
        <f>'Semester 1'!N12</f>
        <v>76</v>
      </c>
      <c r="I16" s="132" t="str">
        <f>'Semester 1'!P12</f>
        <v>B</v>
      </c>
      <c r="J16" s="129">
        <f>'Semester 1'!U12</f>
        <v>68</v>
      </c>
      <c r="K16" s="132" t="str">
        <f>'Semester 1'!W12</f>
        <v>C</v>
      </c>
      <c r="L16" s="129">
        <f>'Semester 1'!AB12</f>
        <v>63</v>
      </c>
      <c r="M16" s="132" t="str">
        <f>'Semester 1'!AD12</f>
        <v>C</v>
      </c>
      <c r="N16" s="129">
        <f>'Semester 1'!AI12</f>
        <v>61</v>
      </c>
      <c r="O16" s="132" t="str">
        <f>'Semester 1'!AK12</f>
        <v>C</v>
      </c>
      <c r="P16" s="48">
        <f>'Semester 1'!AN12</f>
        <v>2.4285714285714284</v>
      </c>
      <c r="Q16" s="48">
        <f>'Semester 1'!AO12</f>
        <v>2.4285714285714284</v>
      </c>
      <c r="R16" s="132">
        <f>'Semester 1'!AP12</f>
        <v>2.4299999999999997</v>
      </c>
      <c r="S16" s="48">
        <f>'Semester 2'!G12</f>
        <v>63</v>
      </c>
      <c r="T16" s="132" t="str">
        <f>'Semester 2'!I12</f>
        <v>C</v>
      </c>
      <c r="U16" s="129">
        <f>'Semester 2'!N12</f>
        <v>94</v>
      </c>
      <c r="V16" s="132" t="str">
        <f>'Semester 2'!P12</f>
        <v>A</v>
      </c>
      <c r="W16" s="129">
        <f>'Semester 2'!U12</f>
        <v>73</v>
      </c>
      <c r="X16" s="132" t="str">
        <f>'Semester 2'!W12</f>
        <v>B</v>
      </c>
      <c r="Y16" s="129">
        <f>'Semester 2'!AB12</f>
        <v>71</v>
      </c>
      <c r="Z16" s="132" t="str">
        <f>'Semester 2'!AD12</f>
        <v>B</v>
      </c>
      <c r="AA16" s="129">
        <f>'Semester 2'!AI12</f>
        <v>62</v>
      </c>
      <c r="AB16" s="132" t="str">
        <f>'Semester 2'!AK12</f>
        <v>C</v>
      </c>
      <c r="AC16" s="136">
        <f>'Semester 2'!AN12</f>
        <v>2.8571428571428572</v>
      </c>
      <c r="AD16" s="137">
        <f>'Semester 2'!AO12</f>
        <v>2.6435714285714287</v>
      </c>
      <c r="AE16" s="129">
        <f>'Semester 3'!G12</f>
        <v>78</v>
      </c>
      <c r="AF16" s="132" t="str">
        <f>'Semester 3'!I12</f>
        <v>B</v>
      </c>
      <c r="AG16" s="129">
        <f>'Semester 3'!N12</f>
        <v>74</v>
      </c>
      <c r="AH16" s="132" t="str">
        <f>'Semester 3'!P12</f>
        <v>B</v>
      </c>
      <c r="AI16" s="129">
        <f>'Semester 3'!U12</f>
        <v>76</v>
      </c>
      <c r="AJ16" s="132" t="str">
        <f>'Semester 3'!W12</f>
        <v>B</v>
      </c>
      <c r="AK16" s="129">
        <f>'Semester 3'!AB12</f>
        <v>68</v>
      </c>
      <c r="AL16" s="132" t="str">
        <f>'Semester 3'!AD12</f>
        <v>C</v>
      </c>
      <c r="AM16" s="129">
        <f>'Semester 3'!AI12</f>
        <v>69</v>
      </c>
      <c r="AN16" s="132" t="str">
        <f>'Semester 3'!AK12</f>
        <v>C</v>
      </c>
      <c r="AO16" s="129">
        <f>'Semester 3'!AN12</f>
        <v>2.6</v>
      </c>
      <c r="AP16" s="137">
        <f>'Semester 3'!AO12</f>
        <v>2.3190476190476192</v>
      </c>
      <c r="AQ16" s="129">
        <f>'Semester 4'!G12</f>
        <v>72</v>
      </c>
      <c r="AR16" s="132" t="str">
        <f>'Semester 4'!I12</f>
        <v>B</v>
      </c>
      <c r="AS16" s="129">
        <f>'Semester 4'!N12</f>
        <v>71</v>
      </c>
      <c r="AT16" s="132" t="str">
        <f>'Semester 4'!P12</f>
        <v>B</v>
      </c>
      <c r="AU16" s="129">
        <f>'Semester 4'!U12</f>
        <v>59</v>
      </c>
      <c r="AV16" s="132" t="str">
        <f>'Semester 4'!W12</f>
        <v>D</v>
      </c>
      <c r="AW16" s="129">
        <f>'Semester 4'!AB12</f>
        <v>72</v>
      </c>
      <c r="AX16" s="132" t="str">
        <f>'Semester 4'!AD12</f>
        <v>B</v>
      </c>
      <c r="AY16" s="129">
        <f>'Semester 4'!AI12</f>
        <v>60</v>
      </c>
      <c r="AZ16" s="132" t="str">
        <f>'Semester 4'!AK12</f>
        <v>C</v>
      </c>
      <c r="BA16" s="129">
        <f>'Semester 4'!AP12</f>
        <v>76</v>
      </c>
      <c r="BB16" s="132" t="str">
        <f>'Semester 4'!AR12</f>
        <v>B</v>
      </c>
      <c r="BC16" s="136">
        <f>'Semester 4'!AU12</f>
        <v>2.5</v>
      </c>
      <c r="BD16" s="137">
        <f>'Semester 4'!AV12</f>
        <v>2.5964285714285715</v>
      </c>
      <c r="BE16" s="129">
        <f>'Semester 5'!G12</f>
        <v>63</v>
      </c>
      <c r="BF16" s="132" t="str">
        <f>'Semester 5'!I12</f>
        <v>C</v>
      </c>
      <c r="BG16" s="129">
        <f>'Semester 5'!N12</f>
        <v>71</v>
      </c>
      <c r="BH16" s="132" t="str">
        <f>'Semester 5'!P12</f>
        <v>B</v>
      </c>
      <c r="BI16" s="129">
        <f>'Semester 5'!U12</f>
        <v>54</v>
      </c>
      <c r="BJ16" s="132" t="str">
        <f>'Semester 5'!W12</f>
        <v>D</v>
      </c>
      <c r="BK16" s="129">
        <f>'Semester 5'!AB12</f>
        <v>78</v>
      </c>
      <c r="BL16" s="132" t="str">
        <f>'Semester 5'!AD12</f>
        <v>B</v>
      </c>
      <c r="BM16" s="129">
        <f>'Semester 5'!AI12</f>
        <v>65</v>
      </c>
      <c r="BN16" s="132" t="str">
        <f>'Semester 5'!AK12</f>
        <v>C</v>
      </c>
      <c r="BO16" s="129">
        <f>'Semester 5'!AP12</f>
        <v>56</v>
      </c>
      <c r="BP16" s="132" t="str">
        <f>'Semester 5'!AR12</f>
        <v>D</v>
      </c>
      <c r="BQ16" s="136">
        <f>'Semester 5'!AU12</f>
        <v>2</v>
      </c>
      <c r="BR16" s="137">
        <f>'Semester 5'!AV12</f>
        <v>2.4771428571428573</v>
      </c>
      <c r="BS16" s="129">
        <f>'Semester 6'!G12</f>
        <v>68</v>
      </c>
      <c r="BT16" s="132" t="str">
        <f>'Semester 6'!I12</f>
        <v>C</v>
      </c>
      <c r="BU16" s="129">
        <f>'Semester 6'!N12</f>
        <v>70</v>
      </c>
      <c r="BV16" s="132" t="str">
        <f>'Semester 6'!P12</f>
        <v>B</v>
      </c>
      <c r="BW16" s="129">
        <f>'Semester 6'!U12</f>
        <v>59</v>
      </c>
      <c r="BX16" s="132" t="str">
        <f>'Semester 6'!W12</f>
        <v>D</v>
      </c>
      <c r="BY16" s="129">
        <f>'Semester 6'!AB12</f>
        <v>75</v>
      </c>
      <c r="BZ16" s="132" t="str">
        <f>'Semester 6'!AD12</f>
        <v>B</v>
      </c>
      <c r="CA16" s="129">
        <f>'Semester 6'!AI12</f>
        <v>68</v>
      </c>
      <c r="CB16" s="132" t="str">
        <f>'Semester 6'!AK12</f>
        <v>C</v>
      </c>
      <c r="CC16" s="129">
        <f>'Semester 6'!AP12</f>
        <v>65</v>
      </c>
      <c r="CD16" s="132" t="str">
        <f>'Semester 6'!AR12</f>
        <v>C</v>
      </c>
      <c r="CE16" s="129">
        <f>'Semester 6'!AW12</f>
        <v>69</v>
      </c>
      <c r="CF16" s="132" t="str">
        <f>'Semester 6'!AY12</f>
        <v>C</v>
      </c>
      <c r="CG16" s="136">
        <f>'Semester 6'!BB12</f>
        <v>2.1666666666666665</v>
      </c>
      <c r="CH16" s="137">
        <f>'Semester 6'!BC12</f>
        <v>2.4253968253968252</v>
      </c>
      <c r="CI16" s="129">
        <f>'Semester 7'!G12</f>
        <v>81</v>
      </c>
      <c r="CJ16" s="132" t="str">
        <f>'Semester 7'!I12</f>
        <v>A</v>
      </c>
      <c r="CK16" s="129">
        <f>'Semester 7'!N12</f>
        <v>72</v>
      </c>
      <c r="CL16" s="132" t="str">
        <f>'Semester 7'!P12</f>
        <v>B</v>
      </c>
      <c r="CM16" s="129">
        <f>'Semester 7'!U12</f>
        <v>64</v>
      </c>
      <c r="CN16" s="132" t="str">
        <f>'Semester 7'!W12</f>
        <v>C</v>
      </c>
      <c r="CO16" s="129">
        <f>'Semester 7'!AB12</f>
        <v>75</v>
      </c>
      <c r="CP16" s="132" t="str">
        <f>'Semester 7'!AD12</f>
        <v>B</v>
      </c>
      <c r="CQ16" s="129">
        <f>'Semester 7'!AI12</f>
        <v>69</v>
      </c>
      <c r="CR16" s="132" t="str">
        <f>'Semester 7'!AK12</f>
        <v>C</v>
      </c>
      <c r="CS16" s="129">
        <f>'Semester 7'!AP12</f>
        <v>66</v>
      </c>
      <c r="CT16" s="132" t="str">
        <f>'Semester 7'!AR12</f>
        <v>C</v>
      </c>
      <c r="CU16" s="136">
        <f>'Semester 7'!AU12</f>
        <v>2.6666666666666665</v>
      </c>
      <c r="CV16" s="137">
        <f>'Semester 7'!AV12</f>
        <v>2.4598639455782312</v>
      </c>
      <c r="CW16" s="129">
        <f>'Semester 8'!G12</f>
        <v>79</v>
      </c>
      <c r="CX16" s="132" t="str">
        <f>'Semester 8'!I12</f>
        <v>B</v>
      </c>
      <c r="CY16" s="129">
        <f>'Semester 8'!N12</f>
        <v>83</v>
      </c>
      <c r="CZ16" s="132" t="str">
        <f>'Semester 8'!P12</f>
        <v>A</v>
      </c>
      <c r="DA16" s="129">
        <f>'Semester 8'!U12</f>
        <v>55</v>
      </c>
      <c r="DB16" s="132" t="str">
        <f>'Semester 8'!W12</f>
        <v>D</v>
      </c>
      <c r="DC16" s="129">
        <f>'Semester 8'!AB12</f>
        <v>47</v>
      </c>
      <c r="DD16" s="132" t="str">
        <f>'Semester 8'!AD12</f>
        <v>F</v>
      </c>
      <c r="DE16" s="129">
        <f>'Semester 8'!AI12</f>
        <v>56</v>
      </c>
      <c r="DF16" s="132" t="str">
        <f>'Semester 8'!AK12</f>
        <v>D</v>
      </c>
      <c r="DG16" s="129">
        <f>'Semester 8'!AP12</f>
        <v>55</v>
      </c>
      <c r="DH16" s="132" t="str">
        <f>'Semester 8'!AR12</f>
        <v>D</v>
      </c>
      <c r="DI16" s="136">
        <f>'Semester 8'!AU12</f>
        <v>1.6666666666666667</v>
      </c>
      <c r="DJ16" s="98">
        <f>'Semester 8'!AV12</f>
        <v>2.3607142857142858</v>
      </c>
      <c r="DK16" s="141" t="str">
        <f t="shared" si="0"/>
        <v>NIL</v>
      </c>
      <c r="DL16" s="48" t="str">
        <f t="shared" si="1"/>
        <v>F</v>
      </c>
      <c r="DM16" s="48">
        <f t="shared" si="2"/>
        <v>1</v>
      </c>
      <c r="DN16" s="48">
        <f t="shared" si="3"/>
        <v>3</v>
      </c>
    </row>
    <row r="17" spans="2:118" x14ac:dyDescent="0.3">
      <c r="B17">
        <f>'Semester 1'!B13</f>
        <v>4</v>
      </c>
      <c r="C17" t="s">
        <v>115</v>
      </c>
      <c r="D17" t="str">
        <f>'Semester 1'!C13</f>
        <v>Shahid Saeed</v>
      </c>
      <c r="E17" s="48" t="s">
        <v>201</v>
      </c>
      <c r="F17" s="129">
        <f>'Semester 1'!G13</f>
        <v>87</v>
      </c>
      <c r="G17" s="132" t="str">
        <f>'Semester 1'!I13</f>
        <v>A</v>
      </c>
      <c r="H17" s="129">
        <f>'Semester 1'!N13</f>
        <v>74</v>
      </c>
      <c r="I17" s="132" t="str">
        <f>'Semester 1'!P13</f>
        <v>B</v>
      </c>
      <c r="J17" s="129">
        <f>'Semester 1'!U13</f>
        <v>64</v>
      </c>
      <c r="K17" s="132" t="str">
        <f>'Semester 1'!W13</f>
        <v>C</v>
      </c>
      <c r="L17" s="129">
        <f>'Semester 1'!AB13</f>
        <v>81</v>
      </c>
      <c r="M17" s="132" t="str">
        <f>'Semester 1'!AD13</f>
        <v>A</v>
      </c>
      <c r="N17" s="129">
        <f>'Semester 1'!AI13</f>
        <v>84</v>
      </c>
      <c r="O17" s="132" t="str">
        <f>'Semester 1'!AK13</f>
        <v>A</v>
      </c>
      <c r="P17" s="48">
        <f>'Semester 1'!AN13</f>
        <v>3.3571428571428572</v>
      </c>
      <c r="Q17" s="48">
        <f>'Semester 1'!AO13</f>
        <v>3.3571428571428572</v>
      </c>
      <c r="R17" s="132">
        <f>'Semester 1'!AP13</f>
        <v>3.36</v>
      </c>
      <c r="S17" s="48">
        <f>'Semester 2'!G13</f>
        <v>68</v>
      </c>
      <c r="T17" s="132" t="str">
        <f>'Semester 2'!I13</f>
        <v>C</v>
      </c>
      <c r="U17" s="129">
        <f>'Semester 2'!N13</f>
        <v>66</v>
      </c>
      <c r="V17" s="132" t="str">
        <f>'Semester 2'!P13</f>
        <v>C</v>
      </c>
      <c r="W17" s="129">
        <f>'Semester 2'!U13</f>
        <v>62</v>
      </c>
      <c r="X17" s="132" t="str">
        <f>'Semester 2'!W13</f>
        <v>C</v>
      </c>
      <c r="Y17" s="129">
        <f>'Semester 2'!AB13</f>
        <v>62</v>
      </c>
      <c r="Z17" s="132" t="str">
        <f>'Semester 2'!AD13</f>
        <v>C</v>
      </c>
      <c r="AA17" s="129">
        <f>'Semester 2'!AI13</f>
        <v>72</v>
      </c>
      <c r="AB17" s="132" t="str">
        <f>'Semester 2'!AK13</f>
        <v>B</v>
      </c>
      <c r="AC17" s="136">
        <f>'Semester 2'!AN13</f>
        <v>2.1428571428571428</v>
      </c>
      <c r="AD17" s="137">
        <f>'Semester 2'!AO13</f>
        <v>2.7514285714285713</v>
      </c>
      <c r="AE17" s="129">
        <f>'Semester 3'!G13</f>
        <v>63</v>
      </c>
      <c r="AF17" s="132" t="str">
        <f>'Semester 3'!I13</f>
        <v>C</v>
      </c>
      <c r="AG17" s="129">
        <f>'Semester 3'!N13</f>
        <v>70</v>
      </c>
      <c r="AH17" s="132" t="str">
        <f>'Semester 3'!P13</f>
        <v>B</v>
      </c>
      <c r="AI17" s="129">
        <f>'Semester 3'!U13</f>
        <v>76</v>
      </c>
      <c r="AJ17" s="132" t="str">
        <f>'Semester 3'!W13</f>
        <v>B</v>
      </c>
      <c r="AK17" s="129">
        <f>'Semester 3'!AB13</f>
        <v>90</v>
      </c>
      <c r="AL17" s="132" t="str">
        <f>'Semester 3'!AD13</f>
        <v>A</v>
      </c>
      <c r="AM17" s="129">
        <f>'Semester 3'!AI13</f>
        <v>58</v>
      </c>
      <c r="AN17" s="132" t="str">
        <f>'Semester 3'!AK13</f>
        <v>D</v>
      </c>
      <c r="AO17" s="129">
        <f>'Semester 3'!AN13</f>
        <v>2.6</v>
      </c>
      <c r="AP17" s="137">
        <f>'Semester 3'!AO13</f>
        <v>2.6523809523809523</v>
      </c>
      <c r="AQ17" s="129">
        <f>'Semester 4'!G13</f>
        <v>73</v>
      </c>
      <c r="AR17" s="132" t="str">
        <f>'Semester 4'!I13</f>
        <v>B</v>
      </c>
      <c r="AS17" s="129">
        <f>'Semester 4'!N13</f>
        <v>64</v>
      </c>
      <c r="AT17" s="132" t="str">
        <f>'Semester 4'!P13</f>
        <v>C</v>
      </c>
      <c r="AU17" s="129">
        <f>'Semester 4'!U13</f>
        <v>74</v>
      </c>
      <c r="AV17" s="132" t="str">
        <f>'Semester 4'!W13</f>
        <v>B</v>
      </c>
      <c r="AW17" s="129">
        <f>'Semester 4'!AB13</f>
        <v>74</v>
      </c>
      <c r="AX17" s="132" t="str">
        <f>'Semester 4'!AD13</f>
        <v>B</v>
      </c>
      <c r="AY17" s="129">
        <f>'Semester 4'!AI13</f>
        <v>84</v>
      </c>
      <c r="AZ17" s="132" t="str">
        <f>'Semester 4'!AK13</f>
        <v>A</v>
      </c>
      <c r="BA17" s="129">
        <f>'Semester 4'!AP13</f>
        <v>58</v>
      </c>
      <c r="BB17" s="132" t="str">
        <f>'Semester 4'!AR13</f>
        <v>D</v>
      </c>
      <c r="BC17" s="136">
        <f>'Semester 4'!AU13</f>
        <v>2.6666666666666665</v>
      </c>
      <c r="BD17" s="137">
        <f>'Semester 4'!AV13</f>
        <v>2.6916666666666664</v>
      </c>
      <c r="BE17" s="129">
        <f>'Semester 5'!G13</f>
        <v>77</v>
      </c>
      <c r="BF17" s="132" t="str">
        <f>'Semester 5'!I13</f>
        <v>B</v>
      </c>
      <c r="BG17" s="129">
        <f>'Semester 5'!N13</f>
        <v>71</v>
      </c>
      <c r="BH17" s="132" t="str">
        <f>'Semester 5'!P13</f>
        <v>B</v>
      </c>
      <c r="BI17" s="129">
        <f>'Semester 5'!U13</f>
        <v>67</v>
      </c>
      <c r="BJ17" s="132" t="str">
        <f>'Semester 5'!W13</f>
        <v>C</v>
      </c>
      <c r="BK17" s="129">
        <f>'Semester 5'!AB13</f>
        <v>72</v>
      </c>
      <c r="BL17" s="132" t="str">
        <f>'Semester 5'!AD13</f>
        <v>B</v>
      </c>
      <c r="BM17" s="129">
        <f>'Semester 5'!AI13</f>
        <v>86</v>
      </c>
      <c r="BN17" s="132" t="str">
        <f>'Semester 5'!AK13</f>
        <v>A</v>
      </c>
      <c r="BO17" s="129">
        <f>'Semester 5'!AP13</f>
        <v>74</v>
      </c>
      <c r="BP17" s="132" t="str">
        <f>'Semester 5'!AR13</f>
        <v>B</v>
      </c>
      <c r="BQ17" s="136">
        <f>'Semester 5'!AU13</f>
        <v>3</v>
      </c>
      <c r="BR17" s="137">
        <f>'Semester 5'!AV13</f>
        <v>2.753333333333333</v>
      </c>
      <c r="BS17" s="129">
        <f>'Semester 6'!G13</f>
        <v>83</v>
      </c>
      <c r="BT17" s="132" t="str">
        <f>'Semester 6'!I13</f>
        <v>A</v>
      </c>
      <c r="BU17" s="129">
        <f>'Semester 6'!N13</f>
        <v>62</v>
      </c>
      <c r="BV17" s="132" t="str">
        <f>'Semester 6'!P13</f>
        <v>C</v>
      </c>
      <c r="BW17" s="129">
        <f>'Semester 6'!U13</f>
        <v>76</v>
      </c>
      <c r="BX17" s="132" t="str">
        <f>'Semester 6'!W13</f>
        <v>B</v>
      </c>
      <c r="BY17" s="129">
        <f>'Semester 6'!AB13</f>
        <v>77</v>
      </c>
      <c r="BZ17" s="132" t="str">
        <f>'Semester 6'!AD13</f>
        <v>B</v>
      </c>
      <c r="CA17" s="129">
        <f>'Semester 6'!AI13</f>
        <v>69</v>
      </c>
      <c r="CB17" s="132" t="str">
        <f>'Semester 6'!AK13</f>
        <v>C</v>
      </c>
      <c r="CC17" s="129">
        <f>'Semester 6'!AP13</f>
        <v>73</v>
      </c>
      <c r="CD17" s="132" t="str">
        <f>'Semester 6'!AR13</f>
        <v>B</v>
      </c>
      <c r="CE17" s="129">
        <f>'Semester 6'!AW13</f>
        <v>85</v>
      </c>
      <c r="CF17" s="132" t="str">
        <f>'Semester 6'!AY13</f>
        <v>A</v>
      </c>
      <c r="CG17" s="136">
        <f>'Semester 6'!BB13</f>
        <v>2.9444444444444446</v>
      </c>
      <c r="CH17" s="137">
        <f>'Semester 6'!BC13</f>
        <v>2.7851851851851848</v>
      </c>
      <c r="CI17" s="129">
        <f>'Semester 7'!G13</f>
        <v>66</v>
      </c>
      <c r="CJ17" s="132" t="str">
        <f>'Semester 7'!I13</f>
        <v>C</v>
      </c>
      <c r="CK17" s="129">
        <f>'Semester 7'!N13</f>
        <v>77</v>
      </c>
      <c r="CL17" s="132" t="str">
        <f>'Semester 7'!P13</f>
        <v>B</v>
      </c>
      <c r="CM17" s="129">
        <f>'Semester 7'!U13</f>
        <v>71</v>
      </c>
      <c r="CN17" s="132" t="str">
        <f>'Semester 7'!W13</f>
        <v>B</v>
      </c>
      <c r="CO17" s="129">
        <f>'Semester 7'!AB13</f>
        <v>78</v>
      </c>
      <c r="CP17" s="132" t="str">
        <f>'Semester 7'!AD13</f>
        <v>B</v>
      </c>
      <c r="CQ17" s="129">
        <f>'Semester 7'!AI13</f>
        <v>80</v>
      </c>
      <c r="CR17" s="132" t="str">
        <f>'Semester 7'!AK13</f>
        <v>A</v>
      </c>
      <c r="CS17" s="129">
        <f>'Semester 7'!AP13</f>
        <v>71</v>
      </c>
      <c r="CT17" s="132" t="str">
        <f>'Semester 7'!AR13</f>
        <v>B</v>
      </c>
      <c r="CU17" s="136">
        <f>'Semester 7'!AU13</f>
        <v>3</v>
      </c>
      <c r="CV17" s="137">
        <f>'Semester 7'!AV13</f>
        <v>2.8158730158730156</v>
      </c>
      <c r="CW17" s="129">
        <f>'Semester 8'!G13</f>
        <v>65</v>
      </c>
      <c r="CX17" s="132" t="str">
        <f>'Semester 8'!I13</f>
        <v>C</v>
      </c>
      <c r="CY17" s="129">
        <f>'Semester 8'!N13</f>
        <v>80</v>
      </c>
      <c r="CZ17" s="132" t="str">
        <f>'Semester 8'!P13</f>
        <v>A</v>
      </c>
      <c r="DA17" s="129">
        <f>'Semester 8'!U13</f>
        <v>64</v>
      </c>
      <c r="DB17" s="132" t="str">
        <f>'Semester 8'!W13</f>
        <v>C</v>
      </c>
      <c r="DC17" s="129">
        <f>'Semester 8'!AB13</f>
        <v>70</v>
      </c>
      <c r="DD17" s="132" t="str">
        <f>'Semester 8'!AD13</f>
        <v>B</v>
      </c>
      <c r="DE17" s="129">
        <f>'Semester 8'!AI13</f>
        <v>70</v>
      </c>
      <c r="DF17" s="132" t="str">
        <f>'Semester 8'!AK13</f>
        <v>B</v>
      </c>
      <c r="DG17" s="129">
        <f>'Semester 8'!AP13</f>
        <v>72</v>
      </c>
      <c r="DH17" s="132" t="str">
        <f>'Semester 8'!AR13</f>
        <v>B</v>
      </c>
      <c r="DI17" s="136">
        <f>'Semester 8'!AU13</f>
        <v>2.8333333333333335</v>
      </c>
      <c r="DJ17" s="98">
        <f>'Semester 8'!AV13</f>
        <v>2.8180555555555555</v>
      </c>
      <c r="DK17" s="132" t="str">
        <f t="shared" si="0"/>
        <v>Bronze</v>
      </c>
      <c r="DL17" s="48" t="str">
        <f t="shared" si="1"/>
        <v/>
      </c>
      <c r="DM17" s="48">
        <f t="shared" si="2"/>
        <v>0</v>
      </c>
      <c r="DN17" s="48">
        <f t="shared" si="3"/>
        <v>0</v>
      </c>
    </row>
    <row r="18" spans="2:118" x14ac:dyDescent="0.3">
      <c r="B18">
        <f>'Semester 1'!B14</f>
        <v>5</v>
      </c>
      <c r="C18" t="s">
        <v>111</v>
      </c>
      <c r="D18" t="str">
        <f>'Semester 1'!C14</f>
        <v>Yusuf Ali</v>
      </c>
      <c r="E18" s="48" t="s">
        <v>217</v>
      </c>
      <c r="F18" s="129">
        <f>'Semester 1'!G14</f>
        <v>68</v>
      </c>
      <c r="G18" s="132" t="str">
        <f>'Semester 1'!I14</f>
        <v>C</v>
      </c>
      <c r="H18" s="129">
        <f>'Semester 1'!N14</f>
        <v>68</v>
      </c>
      <c r="I18" s="132" t="str">
        <f>'Semester 1'!P14</f>
        <v>C</v>
      </c>
      <c r="J18" s="129">
        <f>'Semester 1'!U14</f>
        <v>77</v>
      </c>
      <c r="K18" s="132" t="str">
        <f>'Semester 1'!W14</f>
        <v>B</v>
      </c>
      <c r="L18" s="129">
        <f>'Semester 1'!AB14</f>
        <v>71</v>
      </c>
      <c r="M18" s="132" t="str">
        <f>'Semester 1'!AD14</f>
        <v>B</v>
      </c>
      <c r="N18" s="129">
        <f>'Semester 1'!AI14</f>
        <v>76</v>
      </c>
      <c r="O18" s="132" t="str">
        <f>'Semester 1'!AK14</f>
        <v>B</v>
      </c>
      <c r="P18" s="48">
        <f>'Semester 1'!AN14</f>
        <v>2.5714285714285716</v>
      </c>
      <c r="Q18" s="48">
        <f>'Semester 1'!AO14</f>
        <v>2.5714285714285716</v>
      </c>
      <c r="R18" s="132">
        <f>'Semester 1'!AP14</f>
        <v>2.5799999999999996</v>
      </c>
      <c r="S18" s="48">
        <f>'Semester 2'!G14</f>
        <v>47</v>
      </c>
      <c r="T18" s="132" t="str">
        <f>'Semester 2'!I14</f>
        <v>F</v>
      </c>
      <c r="U18" s="129">
        <f>'Semester 2'!N14</f>
        <v>64</v>
      </c>
      <c r="V18" s="132" t="str">
        <f>'Semester 2'!P14</f>
        <v>C</v>
      </c>
      <c r="W18" s="129">
        <f>'Semester 2'!U14</f>
        <v>70</v>
      </c>
      <c r="X18" s="132" t="str">
        <f>'Semester 2'!W14</f>
        <v>B</v>
      </c>
      <c r="Y18" s="129">
        <f>'Semester 2'!AB14</f>
        <v>62</v>
      </c>
      <c r="Z18" s="132" t="str">
        <f>'Semester 2'!AD14</f>
        <v>C</v>
      </c>
      <c r="AA18" s="129">
        <f>'Semester 2'!AI14</f>
        <v>79</v>
      </c>
      <c r="AB18" s="132" t="str">
        <f>'Semester 2'!AK14</f>
        <v>B</v>
      </c>
      <c r="AC18" s="136">
        <f>'Semester 2'!AN14</f>
        <v>1.9285714285714286</v>
      </c>
      <c r="AD18" s="137">
        <f>'Semester 2'!AO14</f>
        <v>2.254285714285714</v>
      </c>
      <c r="AE18" s="129">
        <f>'Semester 3'!G14</f>
        <v>67</v>
      </c>
      <c r="AF18" s="132" t="str">
        <f>'Semester 3'!I14</f>
        <v>C</v>
      </c>
      <c r="AG18" s="129">
        <f>'Semester 3'!N14</f>
        <v>51</v>
      </c>
      <c r="AH18" s="132" t="str">
        <f>'Semester 3'!P14</f>
        <v>D</v>
      </c>
      <c r="AI18" s="129">
        <f>'Semester 3'!U14</f>
        <v>66</v>
      </c>
      <c r="AJ18" s="132" t="str">
        <f>'Semester 3'!W14</f>
        <v>C</v>
      </c>
      <c r="AK18" s="129">
        <f>'Semester 3'!AB14</f>
        <v>87</v>
      </c>
      <c r="AL18" s="132" t="str">
        <f>'Semester 3'!AD14</f>
        <v>A</v>
      </c>
      <c r="AM18" s="129">
        <f>'Semester 3'!AI14</f>
        <v>84</v>
      </c>
      <c r="AN18" s="132" t="str">
        <f>'Semester 3'!AK14</f>
        <v>A</v>
      </c>
      <c r="AO18" s="129">
        <f>'Semester 3'!AN14</f>
        <v>2.6</v>
      </c>
      <c r="AP18" s="137">
        <f>'Semester 3'!AO14</f>
        <v>2.1285714285714286</v>
      </c>
      <c r="AQ18" s="129">
        <f>'Semester 4'!G14</f>
        <v>73</v>
      </c>
      <c r="AR18" s="132" t="str">
        <f>'Semester 4'!I14</f>
        <v>B</v>
      </c>
      <c r="AS18" s="129">
        <f>'Semester 4'!N14</f>
        <v>71</v>
      </c>
      <c r="AT18" s="132" t="str">
        <f>'Semester 4'!P14</f>
        <v>B</v>
      </c>
      <c r="AU18" s="129">
        <f>'Semester 4'!U14</f>
        <v>88</v>
      </c>
      <c r="AV18" s="132" t="str">
        <f>'Semester 4'!W14</f>
        <v>A</v>
      </c>
      <c r="AW18" s="129">
        <f>'Semester 4'!AB14</f>
        <v>68</v>
      </c>
      <c r="AX18" s="132" t="str">
        <f>'Semester 4'!AD14</f>
        <v>C</v>
      </c>
      <c r="AY18" s="129">
        <f>'Semester 4'!AI14</f>
        <v>71</v>
      </c>
      <c r="AZ18" s="132" t="str">
        <f>'Semester 4'!AK14</f>
        <v>B</v>
      </c>
      <c r="BA18" s="129">
        <f>'Semester 4'!AP14</f>
        <v>79</v>
      </c>
      <c r="BB18" s="132" t="str">
        <f>'Semester 4'!AR14</f>
        <v>B</v>
      </c>
      <c r="BC18" s="136">
        <f>'Semester 4'!AU14</f>
        <v>3</v>
      </c>
      <c r="BD18" s="137">
        <f>'Semester 4'!AV14</f>
        <v>2.5249999999999999</v>
      </c>
      <c r="BE18" s="129">
        <f>'Semester 5'!G14</f>
        <v>59</v>
      </c>
      <c r="BF18" s="132" t="str">
        <f>'Semester 5'!I14</f>
        <v>D</v>
      </c>
      <c r="BG18" s="129">
        <f>'Semester 5'!N14</f>
        <v>74</v>
      </c>
      <c r="BH18" s="132" t="str">
        <f>'Semester 5'!P14</f>
        <v>B</v>
      </c>
      <c r="BI18" s="129">
        <f>'Semester 5'!U14</f>
        <v>72</v>
      </c>
      <c r="BJ18" s="132" t="str">
        <f>'Semester 5'!W14</f>
        <v>B</v>
      </c>
      <c r="BK18" s="129">
        <f>'Semester 5'!AB14</f>
        <v>65</v>
      </c>
      <c r="BL18" s="132" t="str">
        <f>'Semester 5'!AD14</f>
        <v>C</v>
      </c>
      <c r="BM18" s="129">
        <f>'Semester 5'!AI14</f>
        <v>72</v>
      </c>
      <c r="BN18" s="132" t="str">
        <f>'Semester 5'!AK14</f>
        <v>B</v>
      </c>
      <c r="BO18" s="129">
        <f>'Semester 5'!AP14</f>
        <v>67</v>
      </c>
      <c r="BP18" s="132" t="str">
        <f>'Semester 5'!AR14</f>
        <v>C</v>
      </c>
      <c r="BQ18" s="136">
        <f>'Semester 5'!AU14</f>
        <v>2.3333333333333335</v>
      </c>
      <c r="BR18" s="137">
        <f>'Semester 5'!AV14</f>
        <v>2.4866666666666668</v>
      </c>
      <c r="BS18" s="129">
        <f>'Semester 6'!G14</f>
        <v>77</v>
      </c>
      <c r="BT18" s="132" t="str">
        <f>'Semester 6'!I14</f>
        <v>B</v>
      </c>
      <c r="BU18" s="129">
        <f>'Semester 6'!N14</f>
        <v>84</v>
      </c>
      <c r="BV18" s="132" t="str">
        <f>'Semester 6'!P14</f>
        <v>A</v>
      </c>
      <c r="BW18" s="129">
        <f>'Semester 6'!U14</f>
        <v>78</v>
      </c>
      <c r="BX18" s="132" t="str">
        <f>'Semester 6'!W14</f>
        <v>B</v>
      </c>
      <c r="BY18" s="129">
        <f>'Semester 6'!AB14</f>
        <v>64</v>
      </c>
      <c r="BZ18" s="132" t="str">
        <f>'Semester 6'!AD14</f>
        <v>C</v>
      </c>
      <c r="CA18" s="129">
        <f>'Semester 6'!AI14</f>
        <v>69</v>
      </c>
      <c r="CB18" s="132" t="str">
        <f>'Semester 6'!AK14</f>
        <v>C</v>
      </c>
      <c r="CC18" s="129">
        <f>'Semester 6'!AP14</f>
        <v>68</v>
      </c>
      <c r="CD18" s="132" t="str">
        <f>'Semester 6'!AR14</f>
        <v>C</v>
      </c>
      <c r="CE18" s="129">
        <f>'Semester 6'!AW14</f>
        <v>70</v>
      </c>
      <c r="CF18" s="132" t="str">
        <f>'Semester 6'!AY14</f>
        <v>B</v>
      </c>
      <c r="CG18" s="136">
        <f>'Semester 6'!BB14</f>
        <v>2.7777777777777777</v>
      </c>
      <c r="CH18" s="137">
        <f>'Semester 6'!BC14</f>
        <v>2.5351851851851852</v>
      </c>
      <c r="CI18" s="129">
        <f>'Semester 7'!G14</f>
        <v>60</v>
      </c>
      <c r="CJ18" s="132" t="str">
        <f>'Semester 7'!I14</f>
        <v>C</v>
      </c>
      <c r="CK18" s="129">
        <f>'Semester 7'!N14</f>
        <v>71</v>
      </c>
      <c r="CL18" s="132" t="str">
        <f>'Semester 7'!P14</f>
        <v>B</v>
      </c>
      <c r="CM18" s="129">
        <f>'Semester 7'!U14</f>
        <v>70</v>
      </c>
      <c r="CN18" s="132" t="str">
        <f>'Semester 7'!W14</f>
        <v>B</v>
      </c>
      <c r="CO18" s="129">
        <f>'Semester 7'!AB14</f>
        <v>63</v>
      </c>
      <c r="CP18" s="132" t="str">
        <f>'Semester 7'!AD14</f>
        <v>C</v>
      </c>
      <c r="CQ18" s="129">
        <f>'Semester 7'!AI14</f>
        <v>66</v>
      </c>
      <c r="CR18" s="132" t="str">
        <f>'Semester 7'!AK14</f>
        <v>C</v>
      </c>
      <c r="CS18" s="129">
        <f>'Semester 7'!AP14</f>
        <v>76</v>
      </c>
      <c r="CT18" s="132" t="str">
        <f>'Semester 7'!AR14</f>
        <v>B</v>
      </c>
      <c r="CU18" s="136">
        <f>'Semester 7'!AU14</f>
        <v>2.5</v>
      </c>
      <c r="CV18" s="137">
        <f>'Semester 7'!AV14</f>
        <v>2.5301587301587305</v>
      </c>
      <c r="CW18" s="129">
        <f>'Semester 8'!G14</f>
        <v>67</v>
      </c>
      <c r="CX18" s="132" t="str">
        <f>'Semester 8'!I14</f>
        <v>C</v>
      </c>
      <c r="CY18" s="129">
        <f>'Semester 8'!N14</f>
        <v>74</v>
      </c>
      <c r="CZ18" s="132" t="str">
        <f>'Semester 8'!P14</f>
        <v>B</v>
      </c>
      <c r="DA18" s="129">
        <f>'Semester 8'!U14</f>
        <v>47</v>
      </c>
      <c r="DB18" s="132" t="str">
        <f>'Semester 8'!W14</f>
        <v>F</v>
      </c>
      <c r="DC18" s="129">
        <f>'Semester 8'!AB14</f>
        <v>39</v>
      </c>
      <c r="DD18" s="132" t="str">
        <f>'Semester 8'!AD14</f>
        <v>F</v>
      </c>
      <c r="DE18" s="129">
        <f>'Semester 8'!AI14</f>
        <v>67</v>
      </c>
      <c r="DF18" s="132" t="str">
        <f>'Semester 8'!AK14</f>
        <v>C</v>
      </c>
      <c r="DG18" s="129">
        <f>'Semester 8'!AP14</f>
        <v>60</v>
      </c>
      <c r="DH18" s="132" t="str">
        <f>'Semester 8'!AR14</f>
        <v>C</v>
      </c>
      <c r="DI18" s="136">
        <f>'Semester 8'!AU14</f>
        <v>1.5</v>
      </c>
      <c r="DJ18" s="98">
        <f>'Semester 8'!AV14</f>
        <v>2.401388888888889</v>
      </c>
      <c r="DK18" s="141" t="str">
        <f t="shared" si="0"/>
        <v>NIL</v>
      </c>
      <c r="DL18" s="48" t="str">
        <f t="shared" si="1"/>
        <v>F</v>
      </c>
      <c r="DM18" s="48">
        <f t="shared" si="2"/>
        <v>3</v>
      </c>
      <c r="DN18" s="48">
        <f t="shared" si="3"/>
        <v>9</v>
      </c>
    </row>
    <row r="19" spans="2:118" x14ac:dyDescent="0.3">
      <c r="B19">
        <f>'Semester 1'!B15</f>
        <v>6</v>
      </c>
      <c r="C19" t="s">
        <v>112</v>
      </c>
      <c r="D19" t="str">
        <f>'Semester 1'!C15</f>
        <v>Muhammad Saad</v>
      </c>
      <c r="E19" s="48" t="s">
        <v>218</v>
      </c>
      <c r="F19" s="129">
        <f>'Semester 1'!G15</f>
        <v>71</v>
      </c>
      <c r="G19" s="132" t="str">
        <f>'Semester 1'!I15</f>
        <v>B</v>
      </c>
      <c r="H19" s="129">
        <f>'Semester 1'!N15</f>
        <v>65</v>
      </c>
      <c r="I19" s="132" t="str">
        <f>'Semester 1'!P15</f>
        <v>C</v>
      </c>
      <c r="J19" s="129">
        <f>'Semester 1'!U15</f>
        <v>61</v>
      </c>
      <c r="K19" s="132" t="str">
        <f>'Semester 1'!W15</f>
        <v>C</v>
      </c>
      <c r="L19" s="129">
        <f>'Semester 1'!AB15</f>
        <v>73</v>
      </c>
      <c r="M19" s="132" t="str">
        <f>'Semester 1'!AD15</f>
        <v>B</v>
      </c>
      <c r="N19" s="129">
        <f>'Semester 1'!AI15</f>
        <v>60</v>
      </c>
      <c r="O19" s="132" t="str">
        <f>'Semester 1'!AK15</f>
        <v>C</v>
      </c>
      <c r="P19" s="48">
        <f>'Semester 1'!AN15</f>
        <v>2.3571428571428572</v>
      </c>
      <c r="Q19" s="48">
        <f>'Semester 1'!AO15</f>
        <v>2.3571428571428572</v>
      </c>
      <c r="R19" s="132">
        <f>'Semester 1'!AP15</f>
        <v>2.36</v>
      </c>
      <c r="S19" s="48">
        <f>'Semester 2'!G15</f>
        <v>72</v>
      </c>
      <c r="T19" s="132" t="str">
        <f>'Semester 2'!I15</f>
        <v>B</v>
      </c>
      <c r="U19" s="129">
        <f>'Semester 2'!N15</f>
        <v>60</v>
      </c>
      <c r="V19" s="132" t="str">
        <f>'Semester 2'!P15</f>
        <v>C</v>
      </c>
      <c r="W19" s="129">
        <f>'Semester 2'!U15</f>
        <v>57</v>
      </c>
      <c r="X19" s="132" t="str">
        <f>'Semester 2'!W15</f>
        <v>D</v>
      </c>
      <c r="Y19" s="129">
        <f>'Semester 2'!AB15</f>
        <v>68</v>
      </c>
      <c r="Z19" s="132" t="str">
        <f>'Semester 2'!AD15</f>
        <v>C</v>
      </c>
      <c r="AA19" s="129">
        <f>'Semester 2'!AI15</f>
        <v>62</v>
      </c>
      <c r="AB19" s="132" t="str">
        <f>'Semester 2'!AK15</f>
        <v>C</v>
      </c>
      <c r="AC19" s="136">
        <f>'Semester 2'!AN15</f>
        <v>2</v>
      </c>
      <c r="AD19" s="137">
        <f>'Semester 2'!AO15</f>
        <v>2.1799999999999997</v>
      </c>
      <c r="AE19" s="129">
        <f>'Semester 3'!G15</f>
        <v>71</v>
      </c>
      <c r="AF19" s="132" t="str">
        <f>'Semester 3'!I15</f>
        <v>B</v>
      </c>
      <c r="AG19" s="129">
        <f>'Semester 3'!N15</f>
        <v>64</v>
      </c>
      <c r="AH19" s="132" t="str">
        <f>'Semester 3'!P15</f>
        <v>C</v>
      </c>
      <c r="AI19" s="129">
        <f>'Semester 3'!U15</f>
        <v>72</v>
      </c>
      <c r="AJ19" s="132" t="str">
        <f>'Semester 3'!W15</f>
        <v>B</v>
      </c>
      <c r="AK19" s="129">
        <f>'Semester 3'!AB15</f>
        <v>52</v>
      </c>
      <c r="AL19" s="132" t="str">
        <f>'Semester 3'!AD15</f>
        <v>D</v>
      </c>
      <c r="AM19" s="129">
        <f>'Semester 3'!AI15</f>
        <v>70</v>
      </c>
      <c r="AN19" s="132" t="str">
        <f>'Semester 3'!AK15</f>
        <v>B</v>
      </c>
      <c r="AO19" s="129">
        <f>'Semester 3'!AN15</f>
        <v>2.4</v>
      </c>
      <c r="AP19" s="137">
        <f>'Semester 3'!AO15</f>
        <v>2.2523809523809524</v>
      </c>
      <c r="AQ19" s="129">
        <f>'Semester 4'!G15</f>
        <v>63</v>
      </c>
      <c r="AR19" s="132" t="str">
        <f>'Semester 4'!I15</f>
        <v>C</v>
      </c>
      <c r="AS19" s="129">
        <f>'Semester 4'!N15</f>
        <v>77</v>
      </c>
      <c r="AT19" s="132" t="str">
        <f>'Semester 4'!P15</f>
        <v>B</v>
      </c>
      <c r="AU19" s="129">
        <f>'Semester 4'!U15</f>
        <v>54</v>
      </c>
      <c r="AV19" s="132" t="str">
        <f>'Semester 4'!W15</f>
        <v>D</v>
      </c>
      <c r="AW19" s="129">
        <f>'Semester 4'!AB15</f>
        <v>75</v>
      </c>
      <c r="AX19" s="132" t="str">
        <f>'Semester 4'!AD15</f>
        <v>B</v>
      </c>
      <c r="AY19" s="129">
        <f>'Semester 4'!AI15</f>
        <v>77</v>
      </c>
      <c r="AZ19" s="132" t="str">
        <f>'Semester 4'!AK15</f>
        <v>B</v>
      </c>
      <c r="BA19" s="129">
        <f>'Semester 4'!AP15</f>
        <v>64</v>
      </c>
      <c r="BB19" s="132" t="str">
        <f>'Semester 4'!AR15</f>
        <v>C</v>
      </c>
      <c r="BC19" s="136">
        <f>'Semester 4'!AU15</f>
        <v>2.3333333333333335</v>
      </c>
      <c r="BD19" s="137">
        <f>'Semester 4'!AV15</f>
        <v>2.2726190476190475</v>
      </c>
      <c r="BE19" s="129">
        <f>'Semester 5'!G15</f>
        <v>58</v>
      </c>
      <c r="BF19" s="132" t="str">
        <f>'Semester 5'!I15</f>
        <v>D</v>
      </c>
      <c r="BG19" s="129">
        <f>'Semester 5'!N15</f>
        <v>74</v>
      </c>
      <c r="BH19" s="132" t="str">
        <f>'Semester 5'!P15</f>
        <v>B</v>
      </c>
      <c r="BI19" s="129">
        <f>'Semester 5'!U15</f>
        <v>49</v>
      </c>
      <c r="BJ19" s="132" t="str">
        <f>'Semester 5'!W15</f>
        <v>F</v>
      </c>
      <c r="BK19" s="129">
        <f>'Semester 5'!AB15</f>
        <v>67</v>
      </c>
      <c r="BL19" s="132" t="str">
        <f>'Semester 5'!AD15</f>
        <v>C</v>
      </c>
      <c r="BM19" s="129">
        <f>'Semester 5'!AI15</f>
        <v>67</v>
      </c>
      <c r="BN19" s="132" t="str">
        <f>'Semester 5'!AK15</f>
        <v>C</v>
      </c>
      <c r="BO19" s="129">
        <f>'Semester 5'!AP15</f>
        <v>71</v>
      </c>
      <c r="BP19" s="132" t="str">
        <f>'Semester 5'!AR15</f>
        <v>B</v>
      </c>
      <c r="BQ19" s="136">
        <f>'Semester 5'!AU15</f>
        <v>1.8333333333333333</v>
      </c>
      <c r="BR19" s="137">
        <f>'Semester 5'!AV15</f>
        <v>2.1847619047619049</v>
      </c>
      <c r="BS19" s="129">
        <f>'Semester 6'!G15</f>
        <v>68</v>
      </c>
      <c r="BT19" s="132" t="str">
        <f>'Semester 6'!I15</f>
        <v>C</v>
      </c>
      <c r="BU19" s="129">
        <f>'Semester 6'!N15</f>
        <v>63</v>
      </c>
      <c r="BV19" s="132" t="str">
        <f>'Semester 6'!P15</f>
        <v>C</v>
      </c>
      <c r="BW19" s="129">
        <f>'Semester 6'!U15</f>
        <v>69</v>
      </c>
      <c r="BX19" s="132" t="str">
        <f>'Semester 6'!W15</f>
        <v>C</v>
      </c>
      <c r="BY19" s="129">
        <f>'Semester 6'!AB15</f>
        <v>62</v>
      </c>
      <c r="BZ19" s="132" t="str">
        <f>'Semester 6'!AD15</f>
        <v>C</v>
      </c>
      <c r="CA19" s="129">
        <f>'Semester 6'!AI15</f>
        <v>74</v>
      </c>
      <c r="CB19" s="132" t="str">
        <f>'Semester 6'!AK15</f>
        <v>B</v>
      </c>
      <c r="CC19" s="129">
        <f>'Semester 6'!AP15</f>
        <v>64</v>
      </c>
      <c r="CD19" s="132" t="str">
        <f>'Semester 6'!AR15</f>
        <v>C</v>
      </c>
      <c r="CE19" s="129">
        <f>'Semester 6'!AW15</f>
        <v>61</v>
      </c>
      <c r="CF19" s="132" t="str">
        <f>'Semester 6'!AY15</f>
        <v>C</v>
      </c>
      <c r="CG19" s="136">
        <f>'Semester 6'!BB15</f>
        <v>2.1666666666666665</v>
      </c>
      <c r="CH19" s="137">
        <f>'Semester 6'!BC15</f>
        <v>2.181746031746032</v>
      </c>
      <c r="CI19" s="129">
        <f>'Semester 7'!G15</f>
        <v>63</v>
      </c>
      <c r="CJ19" s="132" t="str">
        <f>'Semester 7'!I15</f>
        <v>C</v>
      </c>
      <c r="CK19" s="129">
        <f>'Semester 7'!N15</f>
        <v>65</v>
      </c>
      <c r="CL19" s="132" t="str">
        <f>'Semester 7'!P15</f>
        <v>C</v>
      </c>
      <c r="CM19" s="129">
        <f>'Semester 7'!U15</f>
        <v>71</v>
      </c>
      <c r="CN19" s="132" t="str">
        <f>'Semester 7'!W15</f>
        <v>B</v>
      </c>
      <c r="CO19" s="129">
        <f>'Semester 7'!AB15</f>
        <v>73</v>
      </c>
      <c r="CP19" s="132" t="str">
        <f>'Semester 7'!AD15</f>
        <v>B</v>
      </c>
      <c r="CQ19" s="129">
        <f>'Semester 7'!AI15</f>
        <v>62</v>
      </c>
      <c r="CR19" s="132" t="str">
        <f>'Semester 7'!AK15</f>
        <v>C</v>
      </c>
      <c r="CS19" s="129">
        <f>'Semester 7'!AP15</f>
        <v>68</v>
      </c>
      <c r="CT19" s="132" t="str">
        <f>'Semester 7'!AR15</f>
        <v>C</v>
      </c>
      <c r="CU19" s="136">
        <f>'Semester 7'!AU15</f>
        <v>2.3333333333333335</v>
      </c>
      <c r="CV19" s="137">
        <f>'Semester 7'!AV15</f>
        <v>2.2034013605442175</v>
      </c>
      <c r="CW19" s="129">
        <f>'Semester 8'!G15</f>
        <v>56</v>
      </c>
      <c r="CX19" s="132" t="str">
        <f>'Semester 8'!I15</f>
        <v>D</v>
      </c>
      <c r="CY19" s="129">
        <f>'Semester 8'!N15</f>
        <v>65</v>
      </c>
      <c r="CZ19" s="132" t="str">
        <f>'Semester 8'!P15</f>
        <v>C</v>
      </c>
      <c r="DA19" s="129">
        <f>'Semester 8'!U15</f>
        <v>65</v>
      </c>
      <c r="DB19" s="132" t="str">
        <f>'Semester 8'!W15</f>
        <v>C</v>
      </c>
      <c r="DC19" s="129">
        <f>'Semester 8'!AB15</f>
        <v>66</v>
      </c>
      <c r="DD19" s="132" t="str">
        <f>'Semester 8'!AD15</f>
        <v>C</v>
      </c>
      <c r="DE19" s="129">
        <f>'Semester 8'!AI15</f>
        <v>63</v>
      </c>
      <c r="DF19" s="132" t="str">
        <f>'Semester 8'!AK15</f>
        <v>C</v>
      </c>
      <c r="DG19" s="129">
        <f>'Semester 8'!AP15</f>
        <v>66</v>
      </c>
      <c r="DH19" s="132" t="str">
        <f>'Semester 8'!AR15</f>
        <v>C</v>
      </c>
      <c r="DI19" s="136">
        <f>'Semester 8'!AU15</f>
        <v>1.8333333333333333</v>
      </c>
      <c r="DJ19" s="98">
        <f>'Semester 8'!AV15</f>
        <v>2.157142857142857</v>
      </c>
      <c r="DK19" s="141" t="str">
        <f t="shared" si="0"/>
        <v>NIL</v>
      </c>
      <c r="DL19" s="48" t="str">
        <f t="shared" si="1"/>
        <v>F</v>
      </c>
      <c r="DM19" s="48">
        <f t="shared" si="2"/>
        <v>1</v>
      </c>
      <c r="DN19" s="48">
        <f t="shared" si="3"/>
        <v>3</v>
      </c>
    </row>
    <row r="20" spans="2:118" x14ac:dyDescent="0.3">
      <c r="B20">
        <f>'Semester 1'!B16</f>
        <v>7</v>
      </c>
      <c r="C20" t="s">
        <v>194</v>
      </c>
      <c r="D20" t="str">
        <f>'Semester 1'!C16</f>
        <v>Abdul Moiz</v>
      </c>
      <c r="E20" s="48" t="s">
        <v>202</v>
      </c>
      <c r="F20" s="129">
        <f>'Semester 1'!G16</f>
        <v>72</v>
      </c>
      <c r="G20" s="132" t="str">
        <f>'Semester 1'!I16</f>
        <v>B</v>
      </c>
      <c r="H20" s="129">
        <f>'Semester 1'!N16</f>
        <v>69</v>
      </c>
      <c r="I20" s="132" t="str">
        <f>'Semester 1'!P16</f>
        <v>C</v>
      </c>
      <c r="J20" s="129">
        <f>'Semester 1'!U16</f>
        <v>63</v>
      </c>
      <c r="K20" s="132" t="str">
        <f>'Semester 1'!W16</f>
        <v>C</v>
      </c>
      <c r="L20" s="129">
        <f>'Semester 1'!AB16</f>
        <v>79</v>
      </c>
      <c r="M20" s="132" t="str">
        <f>'Semester 1'!AD16</f>
        <v>B</v>
      </c>
      <c r="N20" s="129">
        <f>'Semester 1'!AI16</f>
        <v>74</v>
      </c>
      <c r="O20" s="132" t="str">
        <f>'Semester 1'!AK16</f>
        <v>B</v>
      </c>
      <c r="P20" s="48">
        <f>'Semester 1'!AN16</f>
        <v>2.5714285714285716</v>
      </c>
      <c r="Q20" s="48">
        <f>'Semester 1'!AO16</f>
        <v>2.5714285714285716</v>
      </c>
      <c r="R20" s="132">
        <f>'Semester 1'!AP16</f>
        <v>2.5799999999999996</v>
      </c>
      <c r="S20" s="48">
        <f>'Semester 2'!G16</f>
        <v>42</v>
      </c>
      <c r="T20" s="132" t="str">
        <f>'Semester 2'!I16</f>
        <v>F</v>
      </c>
      <c r="U20" s="129">
        <f>'Semester 2'!N16</f>
        <v>67</v>
      </c>
      <c r="V20" s="132" t="str">
        <f>'Semester 2'!P16</f>
        <v>C</v>
      </c>
      <c r="W20" s="129">
        <f>'Semester 2'!U16</f>
        <v>55</v>
      </c>
      <c r="X20" s="132" t="str">
        <f>'Semester 2'!W16</f>
        <v>D</v>
      </c>
      <c r="Y20" s="129">
        <f>'Semester 2'!AB16</f>
        <v>65</v>
      </c>
      <c r="Z20" s="132" t="str">
        <f>'Semester 2'!AD16</f>
        <v>C</v>
      </c>
      <c r="AA20" s="129">
        <f>'Semester 2'!AI16</f>
        <v>57</v>
      </c>
      <c r="AB20" s="132" t="str">
        <f>'Semester 2'!AK16</f>
        <v>D</v>
      </c>
      <c r="AC20" s="136">
        <f>'Semester 2'!AN16</f>
        <v>1.2142857142857142</v>
      </c>
      <c r="AD20" s="137">
        <f>'Semester 2'!AO16</f>
        <v>1.8971428571428568</v>
      </c>
      <c r="AE20" s="129">
        <f>'Semester 3'!G16</f>
        <v>70</v>
      </c>
      <c r="AF20" s="132" t="str">
        <f>'Semester 3'!I16</f>
        <v>B</v>
      </c>
      <c r="AG20" s="129">
        <f>'Semester 3'!N16</f>
        <v>86</v>
      </c>
      <c r="AH20" s="132" t="str">
        <f>'Semester 3'!P16</f>
        <v>A</v>
      </c>
      <c r="AI20" s="129">
        <f>'Semester 3'!U16</f>
        <v>68</v>
      </c>
      <c r="AJ20" s="132" t="str">
        <f>'Semester 3'!W16</f>
        <v>C</v>
      </c>
      <c r="AK20" s="129">
        <f>'Semester 3'!AB16</f>
        <v>65</v>
      </c>
      <c r="AL20" s="132" t="str">
        <f>'Semester 3'!AD16</f>
        <v>C</v>
      </c>
      <c r="AM20" s="129">
        <f>'Semester 3'!AI16</f>
        <v>66</v>
      </c>
      <c r="AN20" s="132" t="str">
        <f>'Semester 3'!AK16</f>
        <v>C</v>
      </c>
      <c r="AO20" s="129">
        <f>'Semester 3'!AN16</f>
        <v>2.6</v>
      </c>
      <c r="AP20" s="137">
        <f>'Semester 3'!AO16</f>
        <v>2.2714285714285718</v>
      </c>
      <c r="AQ20" s="129">
        <f>'Semester 4'!G16</f>
        <v>63</v>
      </c>
      <c r="AR20" s="132" t="str">
        <f>'Semester 4'!I16</f>
        <v>C</v>
      </c>
      <c r="AS20" s="129">
        <f>'Semester 4'!N16</f>
        <v>67</v>
      </c>
      <c r="AT20" s="132" t="str">
        <f>'Semester 4'!P16</f>
        <v>C</v>
      </c>
      <c r="AU20" s="129">
        <f>'Semester 4'!U16</f>
        <v>68</v>
      </c>
      <c r="AV20" s="132" t="str">
        <f>'Semester 4'!W16</f>
        <v>C</v>
      </c>
      <c r="AW20" s="129">
        <f>'Semester 4'!AB16</f>
        <v>62</v>
      </c>
      <c r="AX20" s="132" t="str">
        <f>'Semester 4'!AD16</f>
        <v>C</v>
      </c>
      <c r="AY20" s="129">
        <f>'Semester 4'!AI16</f>
        <v>69</v>
      </c>
      <c r="AZ20" s="132" t="str">
        <f>'Semester 4'!AK16</f>
        <v>C</v>
      </c>
      <c r="BA20" s="129">
        <f>'Semester 4'!AP16</f>
        <v>68</v>
      </c>
      <c r="BB20" s="132" t="str">
        <f>'Semester 4'!AR16</f>
        <v>C</v>
      </c>
      <c r="BC20" s="136">
        <f>'Semester 4'!AU16</f>
        <v>2</v>
      </c>
      <c r="BD20" s="137">
        <f>'Semester 4'!AV16</f>
        <v>2.0964285714285715</v>
      </c>
      <c r="BE20" s="129">
        <f>'Semester 5'!G16</f>
        <v>61</v>
      </c>
      <c r="BF20" s="132" t="str">
        <f>'Semester 5'!I16</f>
        <v>C</v>
      </c>
      <c r="BG20" s="129">
        <f>'Semester 5'!N16</f>
        <v>79</v>
      </c>
      <c r="BH20" s="132" t="str">
        <f>'Semester 5'!P16</f>
        <v>B</v>
      </c>
      <c r="BI20" s="129">
        <f>'Semester 5'!U16</f>
        <v>74</v>
      </c>
      <c r="BJ20" s="132" t="str">
        <f>'Semester 5'!W16</f>
        <v>B</v>
      </c>
      <c r="BK20" s="129">
        <f>'Semester 5'!AB16</f>
        <v>72</v>
      </c>
      <c r="BL20" s="132" t="str">
        <f>'Semester 5'!AD16</f>
        <v>B</v>
      </c>
      <c r="BM20" s="129">
        <f>'Semester 5'!AI16</f>
        <v>67</v>
      </c>
      <c r="BN20" s="132" t="str">
        <f>'Semester 5'!AK16</f>
        <v>C</v>
      </c>
      <c r="BO20" s="129">
        <f>'Semester 5'!AP16</f>
        <v>74</v>
      </c>
      <c r="BP20" s="132" t="str">
        <f>'Semester 5'!AR16</f>
        <v>B</v>
      </c>
      <c r="BQ20" s="136">
        <f>'Semester 5'!AU16</f>
        <v>2.6666666666666665</v>
      </c>
      <c r="BR20" s="137">
        <f>'Semester 5'!AV16</f>
        <v>2.2104761904761903</v>
      </c>
      <c r="BS20" s="129">
        <f>'Semester 6'!G16</f>
        <v>73</v>
      </c>
      <c r="BT20" s="132" t="str">
        <f>'Semester 6'!I16</f>
        <v>B</v>
      </c>
      <c r="BU20" s="129">
        <f>'Semester 6'!N16</f>
        <v>81</v>
      </c>
      <c r="BV20" s="132" t="str">
        <f>'Semester 6'!P16</f>
        <v>A</v>
      </c>
      <c r="BW20" s="129">
        <f>'Semester 6'!U16</f>
        <v>72</v>
      </c>
      <c r="BX20" s="132" t="str">
        <f>'Semester 6'!W16</f>
        <v>B</v>
      </c>
      <c r="BY20" s="129">
        <f>'Semester 6'!AB16</f>
        <v>65</v>
      </c>
      <c r="BZ20" s="132" t="str">
        <f>'Semester 6'!AD16</f>
        <v>C</v>
      </c>
      <c r="CA20" s="129">
        <f>'Semester 6'!AI16</f>
        <v>69</v>
      </c>
      <c r="CB20" s="132" t="str">
        <f>'Semester 6'!AK16</f>
        <v>C</v>
      </c>
      <c r="CC20" s="129">
        <f>'Semester 6'!AP16</f>
        <v>68</v>
      </c>
      <c r="CD20" s="132" t="str">
        <f>'Semester 6'!AR16</f>
        <v>C</v>
      </c>
      <c r="CE20" s="129">
        <f>'Semester 6'!AW16</f>
        <v>61</v>
      </c>
      <c r="CF20" s="132" t="str">
        <f>'Semester 6'!AY16</f>
        <v>C</v>
      </c>
      <c r="CG20" s="136">
        <f>'Semester 6'!BB16</f>
        <v>2.6666666666666665</v>
      </c>
      <c r="CH20" s="137">
        <f>'Semester 6'!BC16</f>
        <v>2.2865079365079364</v>
      </c>
      <c r="CI20" s="129">
        <f>'Semester 7'!G16</f>
        <v>55</v>
      </c>
      <c r="CJ20" s="132" t="str">
        <f>'Semester 7'!I16</f>
        <v>D</v>
      </c>
      <c r="CK20" s="129">
        <f>'Semester 7'!N16</f>
        <v>75</v>
      </c>
      <c r="CL20" s="132" t="str">
        <f>'Semester 7'!P16</f>
        <v>B</v>
      </c>
      <c r="CM20" s="129">
        <f>'Semester 7'!U16</f>
        <v>70</v>
      </c>
      <c r="CN20" s="132" t="str">
        <f>'Semester 7'!W16</f>
        <v>B</v>
      </c>
      <c r="CO20" s="129">
        <f>'Semester 7'!AB16</f>
        <v>59</v>
      </c>
      <c r="CP20" s="132" t="str">
        <f>'Semester 7'!AD16</f>
        <v>D</v>
      </c>
      <c r="CQ20" s="129">
        <f>'Semester 7'!AI16</f>
        <v>67</v>
      </c>
      <c r="CR20" s="132" t="str">
        <f>'Semester 7'!AK16</f>
        <v>C</v>
      </c>
      <c r="CS20" s="129">
        <f>'Semester 7'!AP16</f>
        <v>76</v>
      </c>
      <c r="CT20" s="132" t="str">
        <f>'Semester 7'!AR16</f>
        <v>B</v>
      </c>
      <c r="CU20" s="136">
        <f>'Semester 7'!AU16</f>
        <v>2.1666666666666665</v>
      </c>
      <c r="CV20" s="137">
        <f>'Semester 7'!AV16</f>
        <v>2.2693877551020405</v>
      </c>
      <c r="CW20" s="129">
        <f>'Semester 8'!G16</f>
        <v>68</v>
      </c>
      <c r="CX20" s="132" t="str">
        <f>'Semester 8'!I16</f>
        <v>C</v>
      </c>
      <c r="CY20" s="129">
        <f>'Semester 8'!N16</f>
        <v>66</v>
      </c>
      <c r="CZ20" s="132" t="str">
        <f>'Semester 8'!P16</f>
        <v>C</v>
      </c>
      <c r="DA20" s="129">
        <f>'Semester 8'!U16</f>
        <v>61</v>
      </c>
      <c r="DB20" s="132" t="str">
        <f>'Semester 8'!W16</f>
        <v>C</v>
      </c>
      <c r="DC20" s="129">
        <f>'Semester 8'!AB16</f>
        <v>55</v>
      </c>
      <c r="DD20" s="132" t="str">
        <f>'Semester 8'!AD16</f>
        <v>D</v>
      </c>
      <c r="DE20" s="129">
        <f>'Semester 8'!AI16</f>
        <v>77</v>
      </c>
      <c r="DF20" s="132" t="str">
        <f>'Semester 8'!AK16</f>
        <v>B</v>
      </c>
      <c r="DG20" s="129">
        <f>'Semester 8'!AP16</f>
        <v>43</v>
      </c>
      <c r="DH20" s="132" t="str">
        <f>'Semester 8'!AR16</f>
        <v>F</v>
      </c>
      <c r="DI20" s="136">
        <f>'Semester 8'!AU16</f>
        <v>1.6666666666666667</v>
      </c>
      <c r="DJ20" s="98">
        <f>'Semester 8'!AV16</f>
        <v>2.1940476190476188</v>
      </c>
      <c r="DK20" s="141" t="str">
        <f t="shared" si="0"/>
        <v>NIL</v>
      </c>
      <c r="DL20" s="48" t="str">
        <f t="shared" si="1"/>
        <v>F</v>
      </c>
      <c r="DM20" s="48">
        <f t="shared" si="2"/>
        <v>2</v>
      </c>
      <c r="DN20" s="48">
        <f t="shared" si="3"/>
        <v>6</v>
      </c>
    </row>
    <row r="21" spans="2:118" x14ac:dyDescent="0.3">
      <c r="B21">
        <f>'Semester 1'!B17</f>
        <v>8</v>
      </c>
      <c r="C21" t="s">
        <v>192</v>
      </c>
      <c r="D21" t="str">
        <f>'Semester 1'!C17</f>
        <v>Usama Khan</v>
      </c>
      <c r="E21" s="48" t="s">
        <v>204</v>
      </c>
      <c r="F21" s="129">
        <f>'Semester 1'!G17</f>
        <v>64</v>
      </c>
      <c r="G21" s="132" t="str">
        <f>'Semester 1'!I17</f>
        <v>C</v>
      </c>
      <c r="H21" s="129">
        <f>'Semester 1'!N17</f>
        <v>77</v>
      </c>
      <c r="I21" s="132" t="str">
        <f>'Semester 1'!P17</f>
        <v>B</v>
      </c>
      <c r="J21" s="129">
        <f>'Semester 1'!U17</f>
        <v>76</v>
      </c>
      <c r="K21" s="132" t="str">
        <f>'Semester 1'!W17</f>
        <v>B</v>
      </c>
      <c r="L21" s="129">
        <f>'Semester 1'!AB17</f>
        <v>66</v>
      </c>
      <c r="M21" s="132" t="str">
        <f>'Semester 1'!AD17</f>
        <v>C</v>
      </c>
      <c r="N21" s="129">
        <f>'Semester 1'!AI17</f>
        <v>59</v>
      </c>
      <c r="O21" s="132" t="str">
        <f>'Semester 1'!AK17</f>
        <v>D</v>
      </c>
      <c r="P21" s="48">
        <f>'Semester 1'!AN17</f>
        <v>2.2142857142857144</v>
      </c>
      <c r="Q21" s="48">
        <f>'Semester 1'!AO17</f>
        <v>2.2142857142857144</v>
      </c>
      <c r="R21" s="132">
        <f>'Semester 1'!AP17</f>
        <v>2.2199999999999998</v>
      </c>
      <c r="S21" s="48">
        <f>'Semester 2'!G17</f>
        <v>77</v>
      </c>
      <c r="T21" s="132" t="str">
        <f>'Semester 2'!I17</f>
        <v>B</v>
      </c>
      <c r="U21" s="129">
        <f>'Semester 2'!N17</f>
        <v>59</v>
      </c>
      <c r="V21" s="132" t="str">
        <f>'Semester 2'!P17</f>
        <v>D</v>
      </c>
      <c r="W21" s="129">
        <f>'Semester 2'!U17</f>
        <v>72</v>
      </c>
      <c r="X21" s="132" t="str">
        <f>'Semester 2'!W17</f>
        <v>B</v>
      </c>
      <c r="Y21" s="129">
        <f>'Semester 2'!AB17</f>
        <v>58</v>
      </c>
      <c r="Z21" s="132" t="str">
        <f>'Semester 2'!AD17</f>
        <v>D</v>
      </c>
      <c r="AA21" s="129">
        <f>'Semester 2'!AI17</f>
        <v>63</v>
      </c>
      <c r="AB21" s="132" t="str">
        <f>'Semester 2'!AK17</f>
        <v>C</v>
      </c>
      <c r="AC21" s="136">
        <f>'Semester 2'!AN17</f>
        <v>2</v>
      </c>
      <c r="AD21" s="137">
        <f>'Semester 2'!AO17</f>
        <v>2.11</v>
      </c>
      <c r="AE21" s="129">
        <f>'Semester 3'!G17</f>
        <v>82</v>
      </c>
      <c r="AF21" s="132" t="str">
        <f>'Semester 3'!I17</f>
        <v>A</v>
      </c>
      <c r="AG21" s="129">
        <f>'Semester 3'!N17</f>
        <v>58</v>
      </c>
      <c r="AH21" s="132" t="str">
        <f>'Semester 3'!P17</f>
        <v>D</v>
      </c>
      <c r="AI21" s="129">
        <f>'Semester 3'!U17</f>
        <v>63</v>
      </c>
      <c r="AJ21" s="132" t="str">
        <f>'Semester 3'!W17</f>
        <v>C</v>
      </c>
      <c r="AK21" s="129">
        <f>'Semester 3'!AB17</f>
        <v>59</v>
      </c>
      <c r="AL21" s="132" t="str">
        <f>'Semester 3'!AD17</f>
        <v>D</v>
      </c>
      <c r="AM21" s="129">
        <f>'Semester 3'!AI17</f>
        <v>55</v>
      </c>
      <c r="AN21" s="132" t="str">
        <f>'Semester 3'!AK17</f>
        <v>D</v>
      </c>
      <c r="AO21" s="129">
        <f>'Semester 3'!AN17</f>
        <v>1.8</v>
      </c>
      <c r="AP21" s="137">
        <f>'Semester 3'!AO17</f>
        <v>2.6</v>
      </c>
      <c r="AQ21" s="129">
        <f>'Semester 4'!G17</f>
        <v>58</v>
      </c>
      <c r="AR21" s="132" t="str">
        <f>'Semester 4'!I17</f>
        <v>D</v>
      </c>
      <c r="AS21" s="129">
        <f>'Semester 4'!N17</f>
        <v>73</v>
      </c>
      <c r="AT21" s="132" t="str">
        <f>'Semester 4'!P17</f>
        <v>B</v>
      </c>
      <c r="AU21" s="129">
        <f>'Semester 4'!U17</f>
        <v>63</v>
      </c>
      <c r="AV21" s="132" t="str">
        <f>'Semester 4'!W17</f>
        <v>C</v>
      </c>
      <c r="AW21" s="129">
        <f>'Semester 4'!AB17</f>
        <v>85</v>
      </c>
      <c r="AX21" s="132" t="str">
        <f>'Semester 4'!AD17</f>
        <v>A</v>
      </c>
      <c r="AY21" s="129">
        <f>'Semester 4'!AI17</f>
        <v>78</v>
      </c>
      <c r="AZ21" s="132" t="str">
        <f>'Semester 4'!AK17</f>
        <v>B</v>
      </c>
      <c r="BA21" s="129">
        <f>'Semester 4'!AP17</f>
        <v>78</v>
      </c>
      <c r="BB21" s="132" t="str">
        <f>'Semester 4'!AR17</f>
        <v>B</v>
      </c>
      <c r="BC21" s="136">
        <f>'Semester 4'!AU17</f>
        <v>2.6666666666666665</v>
      </c>
      <c r="BD21" s="137">
        <f>'Semester 4'!AV17</f>
        <v>2.1702380952380955</v>
      </c>
      <c r="BE21" s="129">
        <f>'Semester 5'!G17</f>
        <v>71</v>
      </c>
      <c r="BF21" s="132" t="str">
        <f>'Semester 5'!I17</f>
        <v>B</v>
      </c>
      <c r="BG21" s="129">
        <f>'Semester 5'!N17</f>
        <v>83</v>
      </c>
      <c r="BH21" s="132" t="str">
        <f>'Semester 5'!P17</f>
        <v>A</v>
      </c>
      <c r="BI21" s="129">
        <f>'Semester 5'!U17</f>
        <v>70</v>
      </c>
      <c r="BJ21" s="132" t="str">
        <f>'Semester 5'!W17</f>
        <v>B</v>
      </c>
      <c r="BK21" s="129">
        <f>'Semester 5'!AB17</f>
        <v>77</v>
      </c>
      <c r="BL21" s="132" t="str">
        <f>'Semester 5'!AD17</f>
        <v>B</v>
      </c>
      <c r="BM21" s="129">
        <f>'Semester 5'!AI17</f>
        <v>65</v>
      </c>
      <c r="BN21" s="132" t="str">
        <f>'Semester 5'!AK17</f>
        <v>C</v>
      </c>
      <c r="BO21" s="129">
        <f>'Semester 5'!AP17</f>
        <v>66</v>
      </c>
      <c r="BP21" s="132" t="str">
        <f>'Semester 5'!AR17</f>
        <v>C</v>
      </c>
      <c r="BQ21" s="136">
        <f>'Semester 5'!AU17</f>
        <v>2.8333333333333335</v>
      </c>
      <c r="BR21" s="137">
        <f>'Semester 5'!AV17</f>
        <v>2.3028571428571429</v>
      </c>
      <c r="BS21" s="129">
        <f>'Semester 6'!G17</f>
        <v>69</v>
      </c>
      <c r="BT21" s="132" t="str">
        <f>'Semester 6'!I17</f>
        <v>C</v>
      </c>
      <c r="BU21" s="129">
        <f>'Semester 6'!N17</f>
        <v>84</v>
      </c>
      <c r="BV21" s="132" t="str">
        <f>'Semester 6'!P17</f>
        <v>A</v>
      </c>
      <c r="BW21" s="129">
        <f>'Semester 6'!U17</f>
        <v>66</v>
      </c>
      <c r="BX21" s="132" t="str">
        <f>'Semester 6'!W17</f>
        <v>C</v>
      </c>
      <c r="BY21" s="129">
        <f>'Semester 6'!AB17</f>
        <v>67</v>
      </c>
      <c r="BZ21" s="132" t="str">
        <f>'Semester 6'!AD17</f>
        <v>C</v>
      </c>
      <c r="CA21" s="129">
        <f>'Semester 6'!AI17</f>
        <v>69</v>
      </c>
      <c r="CB21" s="132" t="str">
        <f>'Semester 6'!AK17</f>
        <v>C</v>
      </c>
      <c r="CC21" s="129">
        <f>'Semester 6'!AP17</f>
        <v>73</v>
      </c>
      <c r="CD21" s="132" t="str">
        <f>'Semester 6'!AR17</f>
        <v>B</v>
      </c>
      <c r="CE21" s="129">
        <f>'Semester 6'!AW17</f>
        <v>73</v>
      </c>
      <c r="CF21" s="132" t="str">
        <f>'Semester 6'!AY17</f>
        <v>B</v>
      </c>
      <c r="CG21" s="136">
        <f>'Semester 6'!BB17</f>
        <v>2.5</v>
      </c>
      <c r="CH21" s="137">
        <f>'Semester 6'!BC17</f>
        <v>2.3357142857142859</v>
      </c>
      <c r="CI21" s="129">
        <f>'Semester 7'!G17</f>
        <v>62</v>
      </c>
      <c r="CJ21" s="132" t="str">
        <f>'Semester 7'!I17</f>
        <v>C</v>
      </c>
      <c r="CK21" s="129">
        <f>'Semester 7'!N17</f>
        <v>72</v>
      </c>
      <c r="CL21" s="132" t="str">
        <f>'Semester 7'!P17</f>
        <v>B</v>
      </c>
      <c r="CM21" s="129">
        <f>'Semester 7'!U17</f>
        <v>65</v>
      </c>
      <c r="CN21" s="132" t="str">
        <f>'Semester 7'!W17</f>
        <v>C</v>
      </c>
      <c r="CO21" s="129">
        <f>'Semester 7'!AB17</f>
        <v>67</v>
      </c>
      <c r="CP21" s="132" t="str">
        <f>'Semester 7'!AD17</f>
        <v>C</v>
      </c>
      <c r="CQ21" s="129">
        <f>'Semester 7'!AI17</f>
        <v>73</v>
      </c>
      <c r="CR21" s="132" t="str">
        <f>'Semester 7'!AK17</f>
        <v>B</v>
      </c>
      <c r="CS21" s="129">
        <f>'Semester 7'!AP17</f>
        <v>65</v>
      </c>
      <c r="CT21" s="132" t="str">
        <f>'Semester 7'!AR17</f>
        <v>C</v>
      </c>
      <c r="CU21" s="136">
        <f>'Semester 7'!AU17</f>
        <v>2.3333333333333335</v>
      </c>
      <c r="CV21" s="137">
        <f>'Semester 7'!AV17</f>
        <v>2.3353741496598639</v>
      </c>
      <c r="CW21" s="129">
        <f>'Semester 8'!G17</f>
        <v>61</v>
      </c>
      <c r="CX21" s="132" t="str">
        <f>'Semester 8'!I17</f>
        <v>C</v>
      </c>
      <c r="CY21" s="129">
        <f>'Semester 8'!N17</f>
        <v>73</v>
      </c>
      <c r="CZ21" s="132" t="str">
        <f>'Semester 8'!P17</f>
        <v>B</v>
      </c>
      <c r="DA21" s="129">
        <f>'Semester 8'!U17</f>
        <v>75</v>
      </c>
      <c r="DB21" s="132" t="str">
        <f>'Semester 8'!W17</f>
        <v>B</v>
      </c>
      <c r="DC21" s="129">
        <f>'Semester 8'!AB17</f>
        <v>69</v>
      </c>
      <c r="DD21" s="132" t="str">
        <f>'Semester 8'!AD17</f>
        <v>C</v>
      </c>
      <c r="DE21" s="129">
        <f>'Semester 8'!AI17</f>
        <v>54</v>
      </c>
      <c r="DF21" s="132" t="str">
        <f>'Semester 8'!AK17</f>
        <v>D</v>
      </c>
      <c r="DG21" s="129">
        <f>'Semester 8'!AP17</f>
        <v>50</v>
      </c>
      <c r="DH21" s="132" t="str">
        <f>'Semester 8'!AR17</f>
        <v>D</v>
      </c>
      <c r="DI21" s="136">
        <f>'Semester 8'!AU17</f>
        <v>2</v>
      </c>
      <c r="DJ21" s="98">
        <f>'Semester 8'!AV17</f>
        <v>2.2934523809523806</v>
      </c>
      <c r="DK21" s="141" t="str">
        <f t="shared" si="0"/>
        <v>NIL</v>
      </c>
      <c r="DL21" s="48" t="str">
        <f t="shared" si="1"/>
        <v/>
      </c>
      <c r="DM21" s="48">
        <f t="shared" si="2"/>
        <v>0</v>
      </c>
      <c r="DN21" s="48">
        <f t="shared" si="3"/>
        <v>0</v>
      </c>
    </row>
    <row r="22" spans="2:118" x14ac:dyDescent="0.3">
      <c r="B22">
        <f>'Semester 1'!B18</f>
        <v>9</v>
      </c>
      <c r="C22" t="s">
        <v>110</v>
      </c>
      <c r="D22" t="str">
        <f>'Semester 1'!C18</f>
        <v>Momin Saeed</v>
      </c>
      <c r="E22" s="48" t="s">
        <v>203</v>
      </c>
      <c r="F22" s="129">
        <f>'Semester 1'!G18</f>
        <v>79</v>
      </c>
      <c r="G22" s="132" t="str">
        <f>'Semester 1'!I18</f>
        <v>B</v>
      </c>
      <c r="H22" s="129">
        <f>'Semester 1'!N18</f>
        <v>75</v>
      </c>
      <c r="I22" s="132" t="str">
        <f>'Semester 1'!P18</f>
        <v>B</v>
      </c>
      <c r="J22" s="129">
        <f>'Semester 1'!U18</f>
        <v>72</v>
      </c>
      <c r="K22" s="132" t="str">
        <f>'Semester 1'!W18</f>
        <v>B</v>
      </c>
      <c r="L22" s="129">
        <f>'Semester 1'!AB18</f>
        <v>72</v>
      </c>
      <c r="M22" s="132" t="str">
        <f>'Semester 1'!AD18</f>
        <v>B</v>
      </c>
      <c r="N22" s="129">
        <f>'Semester 1'!AI18</f>
        <v>77</v>
      </c>
      <c r="O22" s="132" t="str">
        <f>'Semester 1'!AK18</f>
        <v>B</v>
      </c>
      <c r="P22" s="48">
        <f>'Semester 1'!AN18</f>
        <v>3</v>
      </c>
      <c r="Q22" s="48">
        <f>'Semester 1'!AO18</f>
        <v>3</v>
      </c>
      <c r="R22" s="132">
        <f>'Semester 1'!AP18</f>
        <v>3</v>
      </c>
      <c r="S22" s="48">
        <f>'Semester 2'!G18</f>
        <v>59</v>
      </c>
      <c r="T22" s="132" t="str">
        <f>'Semester 2'!I18</f>
        <v>D</v>
      </c>
      <c r="U22" s="129">
        <f>'Semester 2'!N18</f>
        <v>66</v>
      </c>
      <c r="V22" s="132" t="str">
        <f>'Semester 2'!P18</f>
        <v>C</v>
      </c>
      <c r="W22" s="129">
        <f>'Semester 2'!U18</f>
        <v>64</v>
      </c>
      <c r="X22" s="132" t="str">
        <f>'Semester 2'!W18</f>
        <v>C</v>
      </c>
      <c r="Y22" s="129">
        <f>'Semester 2'!AB18</f>
        <v>60</v>
      </c>
      <c r="Z22" s="132" t="str">
        <f>'Semester 2'!AD18</f>
        <v>C</v>
      </c>
      <c r="AA22" s="129">
        <f>'Semester 2'!AI18</f>
        <v>57</v>
      </c>
      <c r="AB22" s="132" t="str">
        <f>'Semester 2'!AK18</f>
        <v>D</v>
      </c>
      <c r="AC22" s="136">
        <f>'Semester 2'!AN18</f>
        <v>1.6428571428571428</v>
      </c>
      <c r="AD22" s="137">
        <f>'Semester 2'!AO18</f>
        <v>2.3214285714285712</v>
      </c>
      <c r="AE22" s="129">
        <f>'Semester 3'!G18</f>
        <v>81</v>
      </c>
      <c r="AF22" s="132" t="str">
        <f>'Semester 3'!I18</f>
        <v>A</v>
      </c>
      <c r="AG22" s="129">
        <f>'Semester 3'!N18</f>
        <v>82</v>
      </c>
      <c r="AH22" s="132" t="str">
        <f>'Semester 3'!P18</f>
        <v>A</v>
      </c>
      <c r="AI22" s="129">
        <f>'Semester 3'!U18</f>
        <v>71</v>
      </c>
      <c r="AJ22" s="132" t="str">
        <f>'Semester 3'!W18</f>
        <v>B</v>
      </c>
      <c r="AK22" s="129">
        <f>'Semester 3'!AB18</f>
        <v>58</v>
      </c>
      <c r="AL22" s="132" t="str">
        <f>'Semester 3'!AD18</f>
        <v>D</v>
      </c>
      <c r="AM22" s="129">
        <f>'Semester 3'!AI18</f>
        <v>69</v>
      </c>
      <c r="AN22" s="132" t="str">
        <f>'Semester 3'!AK18</f>
        <v>C</v>
      </c>
      <c r="AO22" s="129">
        <f>'Semester 3'!AN18</f>
        <v>2.8</v>
      </c>
      <c r="AP22" s="137">
        <f>'Semester 3'!AO18</f>
        <v>2.9</v>
      </c>
      <c r="AQ22" s="129">
        <f>'Semester 4'!G18</f>
        <v>67</v>
      </c>
      <c r="AR22" s="132" t="str">
        <f>'Semester 4'!I18</f>
        <v>C</v>
      </c>
      <c r="AS22" s="129">
        <f>'Semester 4'!N18</f>
        <v>72</v>
      </c>
      <c r="AT22" s="132" t="str">
        <f>'Semester 4'!P18</f>
        <v>B</v>
      </c>
      <c r="AU22" s="129">
        <f>'Semester 4'!U18</f>
        <v>68</v>
      </c>
      <c r="AV22" s="132" t="str">
        <f>'Semester 4'!W18</f>
        <v>C</v>
      </c>
      <c r="AW22" s="129">
        <f>'Semester 4'!AB18</f>
        <v>71</v>
      </c>
      <c r="AX22" s="132" t="str">
        <f>'Semester 4'!AD18</f>
        <v>B</v>
      </c>
      <c r="AY22" s="129">
        <f>'Semester 4'!AI18</f>
        <v>52</v>
      </c>
      <c r="AZ22" s="132" t="str">
        <f>'Semester 4'!AK18</f>
        <v>D</v>
      </c>
      <c r="BA22" s="129">
        <f>'Semester 4'!AP18</f>
        <v>69</v>
      </c>
      <c r="BB22" s="132" t="str">
        <f>'Semester 4'!AR18</f>
        <v>C</v>
      </c>
      <c r="BC22" s="136">
        <f>'Semester 4'!AU18</f>
        <v>2.1666666666666665</v>
      </c>
      <c r="BD22" s="137">
        <f>'Semester 4'!AV18</f>
        <v>2.4023809523809518</v>
      </c>
      <c r="BE22" s="129">
        <f>'Semester 5'!G18</f>
        <v>52</v>
      </c>
      <c r="BF22" s="132" t="str">
        <f>'Semester 5'!I18</f>
        <v>D</v>
      </c>
      <c r="BG22" s="129">
        <f>'Semester 5'!N18</f>
        <v>77</v>
      </c>
      <c r="BH22" s="132" t="str">
        <f>'Semester 5'!P18</f>
        <v>B</v>
      </c>
      <c r="BI22" s="129">
        <f>'Semester 5'!U18</f>
        <v>61</v>
      </c>
      <c r="BJ22" s="132" t="str">
        <f>'Semester 5'!W18</f>
        <v>C</v>
      </c>
      <c r="BK22" s="129">
        <f>'Semester 5'!AB18</f>
        <v>84</v>
      </c>
      <c r="BL22" s="132" t="str">
        <f>'Semester 5'!AD18</f>
        <v>A</v>
      </c>
      <c r="BM22" s="129">
        <f>'Semester 5'!AI18</f>
        <v>64</v>
      </c>
      <c r="BN22" s="132" t="str">
        <f>'Semester 5'!AK18</f>
        <v>C</v>
      </c>
      <c r="BO22" s="129">
        <f>'Semester 5'!AP18</f>
        <v>60</v>
      </c>
      <c r="BP22" s="132" t="str">
        <f>'Semester 5'!AR18</f>
        <v>C</v>
      </c>
      <c r="BQ22" s="136">
        <f>'Semester 5'!AU18</f>
        <v>2.3333333333333335</v>
      </c>
      <c r="BR22" s="137">
        <f>'Semester 5'!AV18</f>
        <v>2.3885714285714283</v>
      </c>
      <c r="BS22" s="129">
        <f>'Semester 6'!G18</f>
        <v>66</v>
      </c>
      <c r="BT22" s="132" t="str">
        <f>'Semester 6'!I18</f>
        <v>C</v>
      </c>
      <c r="BU22" s="129">
        <f>'Semester 6'!N18</f>
        <v>74</v>
      </c>
      <c r="BV22" s="132" t="str">
        <f>'Semester 6'!P18</f>
        <v>B</v>
      </c>
      <c r="BW22" s="129">
        <f>'Semester 6'!U18</f>
        <v>66</v>
      </c>
      <c r="BX22" s="132" t="str">
        <f>'Semester 6'!W18</f>
        <v>C</v>
      </c>
      <c r="BY22" s="129">
        <f>'Semester 6'!AB18</f>
        <v>69</v>
      </c>
      <c r="BZ22" s="132" t="str">
        <f>'Semester 6'!AD18</f>
        <v>C</v>
      </c>
      <c r="CA22" s="129">
        <f>'Semester 6'!AI18</f>
        <v>77</v>
      </c>
      <c r="CB22" s="132" t="str">
        <f>'Semester 6'!AK18</f>
        <v>B</v>
      </c>
      <c r="CC22" s="129">
        <f>'Semester 6'!AP18</f>
        <v>66</v>
      </c>
      <c r="CD22" s="132" t="str">
        <f>'Semester 6'!AR18</f>
        <v>C</v>
      </c>
      <c r="CE22" s="129">
        <f>'Semester 6'!AW18</f>
        <v>65</v>
      </c>
      <c r="CF22" s="132" t="str">
        <f>'Semester 6'!AY18</f>
        <v>C</v>
      </c>
      <c r="CG22" s="136">
        <f>'Semester 6'!BB18</f>
        <v>2.3333333333333335</v>
      </c>
      <c r="CH22" s="137">
        <f>'Semester 6'!BC18</f>
        <v>2.3793650793650793</v>
      </c>
      <c r="CI22" s="129">
        <f>'Semester 7'!G18</f>
        <v>71</v>
      </c>
      <c r="CJ22" s="132" t="str">
        <f>'Semester 7'!I18</f>
        <v>B</v>
      </c>
      <c r="CK22" s="129">
        <f>'Semester 7'!N18</f>
        <v>77</v>
      </c>
      <c r="CL22" s="132" t="str">
        <f>'Semester 7'!P18</f>
        <v>B</v>
      </c>
      <c r="CM22" s="129">
        <f>'Semester 7'!U18</f>
        <v>56</v>
      </c>
      <c r="CN22" s="132" t="str">
        <f>'Semester 7'!W18</f>
        <v>D</v>
      </c>
      <c r="CO22" s="129">
        <f>'Semester 7'!AB18</f>
        <v>78</v>
      </c>
      <c r="CP22" s="132" t="str">
        <f>'Semester 7'!AD18</f>
        <v>B</v>
      </c>
      <c r="CQ22" s="129">
        <f>'Semester 7'!AI18</f>
        <v>64</v>
      </c>
      <c r="CR22" s="132" t="str">
        <f>'Semester 7'!AK18</f>
        <v>C</v>
      </c>
      <c r="CS22" s="129">
        <f>'Semester 7'!AP18</f>
        <v>63</v>
      </c>
      <c r="CT22" s="132" t="str">
        <f>'Semester 7'!AR18</f>
        <v>C</v>
      </c>
      <c r="CU22" s="136">
        <f>'Semester 7'!AU18</f>
        <v>2.3333333333333335</v>
      </c>
      <c r="CV22" s="137">
        <f>'Semester 7'!AV18</f>
        <v>2.3727891156462584</v>
      </c>
      <c r="CW22" s="129">
        <f>'Semester 8'!G18</f>
        <v>76</v>
      </c>
      <c r="CX22" s="132" t="str">
        <f>'Semester 8'!I18</f>
        <v>B</v>
      </c>
      <c r="CY22" s="129">
        <f>'Semester 8'!N18</f>
        <v>85</v>
      </c>
      <c r="CZ22" s="132" t="str">
        <f>'Semester 8'!P18</f>
        <v>A</v>
      </c>
      <c r="DA22" s="129">
        <f>'Semester 8'!U18</f>
        <v>70</v>
      </c>
      <c r="DB22" s="132" t="str">
        <f>'Semester 8'!W18</f>
        <v>B</v>
      </c>
      <c r="DC22" s="129">
        <f>'Semester 8'!AB18</f>
        <v>86</v>
      </c>
      <c r="DD22" s="132" t="str">
        <f>'Semester 8'!AD18</f>
        <v>A</v>
      </c>
      <c r="DE22" s="129">
        <f>'Semester 8'!AI18</f>
        <v>81</v>
      </c>
      <c r="DF22" s="132" t="str">
        <f>'Semester 8'!AK18</f>
        <v>A</v>
      </c>
      <c r="DG22" s="129">
        <f>'Semester 8'!AP18</f>
        <v>72</v>
      </c>
      <c r="DH22" s="132" t="str">
        <f>'Semester 8'!AR18</f>
        <v>B</v>
      </c>
      <c r="DI22" s="136">
        <f>'Semester 8'!AU18</f>
        <v>3.5</v>
      </c>
      <c r="DJ22" s="98">
        <f>'Semester 8'!AV18</f>
        <v>2.5136904761904759</v>
      </c>
      <c r="DK22" s="141" t="str">
        <f t="shared" si="0"/>
        <v>NIL</v>
      </c>
      <c r="DL22" s="48" t="str">
        <f t="shared" si="1"/>
        <v/>
      </c>
      <c r="DM22" s="48">
        <f t="shared" si="2"/>
        <v>0</v>
      </c>
      <c r="DN22" s="48">
        <f t="shared" si="3"/>
        <v>0</v>
      </c>
    </row>
    <row r="23" spans="2:118" ht="15" thickBot="1" x14ac:dyDescent="0.35">
      <c r="B23" s="9">
        <f>'Semester 1'!B19</f>
        <v>10</v>
      </c>
      <c r="C23" s="9" t="s">
        <v>193</v>
      </c>
      <c r="D23" s="9" t="str">
        <f>'Semester 1'!C19</f>
        <v>Moeez Akbar</v>
      </c>
      <c r="E23" s="89" t="s">
        <v>219</v>
      </c>
      <c r="F23" s="130">
        <f>'Semester 1'!G19</f>
        <v>86</v>
      </c>
      <c r="G23" s="133" t="str">
        <f>'Semester 1'!I19</f>
        <v>A</v>
      </c>
      <c r="H23" s="130">
        <f>'Semester 1'!N19</f>
        <v>80</v>
      </c>
      <c r="I23" s="133" t="str">
        <f>'Semester 1'!P19</f>
        <v>A</v>
      </c>
      <c r="J23" s="130">
        <f>'Semester 1'!U19</f>
        <v>70</v>
      </c>
      <c r="K23" s="133" t="str">
        <f>'Semester 1'!W19</f>
        <v>B</v>
      </c>
      <c r="L23" s="130">
        <f>'Semester 1'!AB19</f>
        <v>87</v>
      </c>
      <c r="M23" s="133" t="str">
        <f>'Semester 1'!AD19</f>
        <v>A</v>
      </c>
      <c r="N23" s="130">
        <f>'Semester 1'!AI19</f>
        <v>82</v>
      </c>
      <c r="O23" s="133" t="str">
        <f>'Semester 1'!AK19</f>
        <v>A</v>
      </c>
      <c r="P23" s="89">
        <f>'Semester 1'!AN19</f>
        <v>3.7857142857142856</v>
      </c>
      <c r="Q23" s="89">
        <f>'Semester 1'!AO19</f>
        <v>3.7857142857142856</v>
      </c>
      <c r="R23" s="133">
        <f>'Semester 1'!AP19</f>
        <v>3.7899999999999996</v>
      </c>
      <c r="S23" s="89">
        <f>'Semester 2'!G19</f>
        <v>86</v>
      </c>
      <c r="T23" s="133" t="str">
        <f>'Semester 2'!I19</f>
        <v>A</v>
      </c>
      <c r="U23" s="130">
        <f>'Semester 2'!N19</f>
        <v>88</v>
      </c>
      <c r="V23" s="133" t="str">
        <f>'Semester 2'!P19</f>
        <v>A</v>
      </c>
      <c r="W23" s="130">
        <f>'Semester 2'!U19</f>
        <v>86</v>
      </c>
      <c r="X23" s="133" t="str">
        <f>'Semester 2'!W19</f>
        <v>A</v>
      </c>
      <c r="Y23" s="130">
        <f>'Semester 2'!AB19</f>
        <v>76</v>
      </c>
      <c r="Z23" s="133" t="str">
        <f>'Semester 2'!AD19</f>
        <v>B</v>
      </c>
      <c r="AA23" s="130">
        <f>'Semester 2'!AI19</f>
        <v>88</v>
      </c>
      <c r="AB23" s="133" t="str">
        <f>'Semester 2'!AK19</f>
        <v>A</v>
      </c>
      <c r="AC23" s="138">
        <f>'Semester 2'!AN19</f>
        <v>3.7857142857142856</v>
      </c>
      <c r="AD23" s="139">
        <f>'Semester 2'!AO19</f>
        <v>3.7878571428571428</v>
      </c>
      <c r="AE23" s="130">
        <f>'Semester 3'!G19</f>
        <v>86</v>
      </c>
      <c r="AF23" s="133" t="str">
        <f>'Semester 3'!I19</f>
        <v>A</v>
      </c>
      <c r="AG23" s="130">
        <f>'Semester 3'!N19</f>
        <v>86</v>
      </c>
      <c r="AH23" s="133" t="str">
        <f>'Semester 3'!P19</f>
        <v>A</v>
      </c>
      <c r="AI23" s="130">
        <f>'Semester 3'!U19</f>
        <v>88</v>
      </c>
      <c r="AJ23" s="133" t="str">
        <f>'Semester 3'!W19</f>
        <v>A</v>
      </c>
      <c r="AK23" s="130">
        <f>'Semester 3'!AB19</f>
        <v>84</v>
      </c>
      <c r="AL23" s="133" t="str">
        <f>'Semester 3'!AD19</f>
        <v>A</v>
      </c>
      <c r="AM23" s="130">
        <f>'Semester 3'!AI19</f>
        <v>85</v>
      </c>
      <c r="AN23" s="133" t="str">
        <f>'Semester 3'!AK19</f>
        <v>A</v>
      </c>
      <c r="AO23" s="130">
        <f>'Semester 3'!AN19</f>
        <v>4</v>
      </c>
      <c r="AP23" s="139">
        <f>'Semester 3'!AO19</f>
        <v>3.8928571428571428</v>
      </c>
      <c r="AQ23" s="130">
        <f>'Semester 4'!G19</f>
        <v>85</v>
      </c>
      <c r="AR23" s="133" t="str">
        <f>'Semester 4'!I19</f>
        <v>A</v>
      </c>
      <c r="AS23" s="130">
        <f>'Semester 4'!N19</f>
        <v>87</v>
      </c>
      <c r="AT23" s="133" t="str">
        <f>'Semester 4'!P19</f>
        <v>A</v>
      </c>
      <c r="AU23" s="130">
        <f>'Semester 4'!U19</f>
        <v>86</v>
      </c>
      <c r="AV23" s="133" t="str">
        <f>'Semester 4'!W19</f>
        <v>A</v>
      </c>
      <c r="AW23" s="130">
        <f>'Semester 4'!AB19</f>
        <v>81</v>
      </c>
      <c r="AX23" s="133" t="str">
        <f>'Semester 4'!AD19</f>
        <v>A</v>
      </c>
      <c r="AY23" s="130">
        <f>'Semester 4'!AI19</f>
        <v>76</v>
      </c>
      <c r="AZ23" s="133" t="str">
        <f>'Semester 4'!AK19</f>
        <v>B</v>
      </c>
      <c r="BA23" s="130">
        <f>'Semester 4'!AP19</f>
        <v>67</v>
      </c>
      <c r="BB23" s="133" t="str">
        <f>'Semester 4'!AR19</f>
        <v>C</v>
      </c>
      <c r="BC23" s="138">
        <f>'Semester 4'!AU19</f>
        <v>3.5</v>
      </c>
      <c r="BD23" s="139">
        <f>'Semester 4'!AV19</f>
        <v>3.7678571428571428</v>
      </c>
      <c r="BE23" s="130">
        <f>'Semester 5'!G19</f>
        <v>81</v>
      </c>
      <c r="BF23" s="133" t="str">
        <f>'Semester 5'!I19</f>
        <v>A</v>
      </c>
      <c r="BG23" s="130">
        <f>'Semester 5'!N19</f>
        <v>80</v>
      </c>
      <c r="BH23" s="133" t="str">
        <f>'Semester 5'!P19</f>
        <v>A</v>
      </c>
      <c r="BI23" s="130">
        <f>'Semester 5'!U19</f>
        <v>86</v>
      </c>
      <c r="BJ23" s="133" t="str">
        <f>'Semester 5'!W19</f>
        <v>A</v>
      </c>
      <c r="BK23" s="130">
        <f>'Semester 5'!AB19</f>
        <v>75</v>
      </c>
      <c r="BL23" s="133" t="str">
        <f>'Semester 5'!AD19</f>
        <v>B</v>
      </c>
      <c r="BM23" s="130">
        <f>'Semester 5'!AI19</f>
        <v>70</v>
      </c>
      <c r="BN23" s="133" t="str">
        <f>'Semester 5'!AK19</f>
        <v>B</v>
      </c>
      <c r="BO23" s="130">
        <f>'Semester 5'!AP19</f>
        <v>78</v>
      </c>
      <c r="BP23" s="133" t="str">
        <f>'Semester 5'!AR19</f>
        <v>B</v>
      </c>
      <c r="BQ23" s="138">
        <f>'Semester 5'!AU19</f>
        <v>3.5</v>
      </c>
      <c r="BR23" s="139">
        <f>'Semester 5'!AV19</f>
        <v>3.714285714285714</v>
      </c>
      <c r="BS23" s="130">
        <f>'Semester 6'!G19</f>
        <v>70</v>
      </c>
      <c r="BT23" s="133" t="str">
        <f>'Semester 6'!I19</f>
        <v>B</v>
      </c>
      <c r="BU23" s="130">
        <f>'Semester 6'!N19</f>
        <v>88</v>
      </c>
      <c r="BV23" s="133" t="str">
        <f>'Semester 6'!P19</f>
        <v>A</v>
      </c>
      <c r="BW23" s="130">
        <f>'Semester 6'!U19</f>
        <v>85</v>
      </c>
      <c r="BX23" s="133" t="str">
        <f>'Semester 6'!W19</f>
        <v>A</v>
      </c>
      <c r="BY23" s="130">
        <f>'Semester 6'!AB19</f>
        <v>85</v>
      </c>
      <c r="BZ23" s="133" t="str">
        <f>'Semester 6'!AD19</f>
        <v>A</v>
      </c>
      <c r="CA23" s="130">
        <f>'Semester 6'!AI19</f>
        <v>75</v>
      </c>
      <c r="CB23" s="133" t="str">
        <f>'Semester 6'!AK19</f>
        <v>B</v>
      </c>
      <c r="CC23" s="130">
        <f>'Semester 6'!AP19</f>
        <v>87</v>
      </c>
      <c r="CD23" s="133" t="str">
        <f>'Semester 6'!AR19</f>
        <v>A</v>
      </c>
      <c r="CE23" s="130">
        <f>'Semester 6'!AW19</f>
        <v>82</v>
      </c>
      <c r="CF23" s="133" t="str">
        <f>'Semester 6'!AY19</f>
        <v>A</v>
      </c>
      <c r="CG23" s="138">
        <f>'Semester 6'!BB19</f>
        <v>3.6666666666666665</v>
      </c>
      <c r="CH23" s="139">
        <f>'Semester 6'!BC19</f>
        <v>3.7063492063492061</v>
      </c>
      <c r="CI23" s="130">
        <f>'Semester 7'!G19</f>
        <v>78</v>
      </c>
      <c r="CJ23" s="133" t="str">
        <f>'Semester 7'!I19</f>
        <v>B</v>
      </c>
      <c r="CK23" s="130">
        <f>'Semester 7'!N19</f>
        <v>61</v>
      </c>
      <c r="CL23" s="133" t="str">
        <f>'Semester 7'!P19</f>
        <v>C</v>
      </c>
      <c r="CM23" s="130">
        <f>'Semester 7'!U19</f>
        <v>70</v>
      </c>
      <c r="CN23" s="133" t="str">
        <f>'Semester 7'!W19</f>
        <v>B</v>
      </c>
      <c r="CO23" s="130">
        <f>'Semester 7'!AB19</f>
        <v>82</v>
      </c>
      <c r="CP23" s="133" t="str">
        <f>'Semester 7'!AD19</f>
        <v>A</v>
      </c>
      <c r="CQ23" s="130">
        <f>'Semester 7'!AI19</f>
        <v>71</v>
      </c>
      <c r="CR23" s="133" t="str">
        <f>'Semester 7'!AK19</f>
        <v>B</v>
      </c>
      <c r="CS23" s="130">
        <f>'Semester 7'!AP19</f>
        <v>72</v>
      </c>
      <c r="CT23" s="133" t="str">
        <f>'Semester 7'!AR19</f>
        <v>B</v>
      </c>
      <c r="CU23" s="138">
        <f>'Semester 7'!AU19</f>
        <v>3</v>
      </c>
      <c r="CV23" s="139">
        <f>'Semester 7'!AV19</f>
        <v>3.6054421768707483</v>
      </c>
      <c r="CW23" s="130">
        <f>'Semester 8'!G19</f>
        <v>83</v>
      </c>
      <c r="CX23" s="133" t="str">
        <f>'Semester 8'!I19</f>
        <v>A</v>
      </c>
      <c r="CY23" s="130">
        <f>'Semester 8'!N19</f>
        <v>90</v>
      </c>
      <c r="CZ23" s="133" t="str">
        <f>'Semester 8'!P19</f>
        <v>A</v>
      </c>
      <c r="DA23" s="130">
        <f>'Semester 8'!U19</f>
        <v>91</v>
      </c>
      <c r="DB23" s="133" t="str">
        <f>'Semester 8'!W19</f>
        <v>A</v>
      </c>
      <c r="DC23" s="130">
        <f>'Semester 8'!AB19</f>
        <v>86</v>
      </c>
      <c r="DD23" s="133" t="str">
        <f>'Semester 8'!AD19</f>
        <v>A</v>
      </c>
      <c r="DE23" s="130">
        <f>'Semester 8'!AI19</f>
        <v>78</v>
      </c>
      <c r="DF23" s="133" t="str">
        <f>'Semester 8'!AK19</f>
        <v>B</v>
      </c>
      <c r="DG23" s="130">
        <f>'Semester 8'!AP19</f>
        <v>88</v>
      </c>
      <c r="DH23" s="133" t="str">
        <f>'Semester 8'!AR19</f>
        <v>A</v>
      </c>
      <c r="DI23" s="138">
        <f>'Semester 8'!AU19</f>
        <v>3.8333333333333335</v>
      </c>
      <c r="DJ23" s="99">
        <f>'Semester 8'!AV19</f>
        <v>3.6339285714285716</v>
      </c>
      <c r="DK23" s="133" t="str">
        <f t="shared" si="0"/>
        <v>Gold</v>
      </c>
      <c r="DL23" s="89" t="str">
        <f t="shared" si="1"/>
        <v/>
      </c>
      <c r="DM23" s="89">
        <f t="shared" si="2"/>
        <v>0</v>
      </c>
      <c r="DN23" s="89">
        <f t="shared" si="3"/>
        <v>0</v>
      </c>
    </row>
    <row r="25" spans="2:118" ht="15" thickBot="1" x14ac:dyDescent="0.35"/>
    <row r="26" spans="2:118" ht="15" thickBot="1" x14ac:dyDescent="0.35">
      <c r="B26" s="82" t="str">
        <f>'Semester 1'!P22</f>
        <v>S#</v>
      </c>
      <c r="C26" s="83" t="str">
        <f>'Semester 1'!Q22</f>
        <v>Course Title</v>
      </c>
      <c r="D26" s="84" t="str">
        <f>'Semester 1'!V22</f>
        <v>Cr. Hours</v>
      </c>
    </row>
    <row r="27" spans="2:118" ht="15" thickBot="1" x14ac:dyDescent="0.35">
      <c r="B27" s="168" t="s">
        <v>181</v>
      </c>
      <c r="C27" s="169"/>
      <c r="D27" s="170"/>
    </row>
    <row r="28" spans="2:118" x14ac:dyDescent="0.3">
      <c r="B28" s="74">
        <f>'Semester 1'!P23</f>
        <v>1</v>
      </c>
      <c r="C28" s="75" t="str">
        <f>'Semester 1'!Q23</f>
        <v>English I</v>
      </c>
      <c r="D28" s="77">
        <f>'Semester 1'!V23</f>
        <v>3</v>
      </c>
    </row>
    <row r="29" spans="2:118" x14ac:dyDescent="0.3">
      <c r="B29" s="74">
        <f>'Semester 1'!P24</f>
        <v>2</v>
      </c>
      <c r="C29" s="75" t="str">
        <f>'Semester 1'!Q24</f>
        <v>Introduction to Computer Application</v>
      </c>
      <c r="D29" s="77">
        <f>'Semester 1'!V24</f>
        <v>3</v>
      </c>
    </row>
    <row r="30" spans="2:118" x14ac:dyDescent="0.3">
      <c r="B30" s="74">
        <f>'Semester 1'!P25</f>
        <v>3</v>
      </c>
      <c r="C30" s="75" t="str">
        <f>'Semester 1'!Q25</f>
        <v>Principle of Management</v>
      </c>
      <c r="D30" s="77">
        <f>'Semester 1'!V25</f>
        <v>3</v>
      </c>
    </row>
    <row r="31" spans="2:118" x14ac:dyDescent="0.3">
      <c r="B31" s="74">
        <f>'Semester 1'!P26</f>
        <v>4</v>
      </c>
      <c r="C31" s="75" t="str">
        <f>'Semester 1'!Q26</f>
        <v>Islamic Studies</v>
      </c>
      <c r="D31" s="77">
        <f>'Semester 1'!V26</f>
        <v>2</v>
      </c>
    </row>
    <row r="32" spans="2:118" x14ac:dyDescent="0.3">
      <c r="B32" s="74">
        <f>'Semester 1'!P27</f>
        <v>5</v>
      </c>
      <c r="C32" s="75" t="str">
        <f>'Semester 1'!Q27</f>
        <v>Sociology</v>
      </c>
      <c r="D32" s="77">
        <f>'Semester 1'!V27</f>
        <v>3</v>
      </c>
    </row>
    <row r="33" spans="2:4" ht="15" thickBot="1" x14ac:dyDescent="0.35">
      <c r="B33" s="76"/>
      <c r="C33" s="79" t="str">
        <f>'Semester 1'!Q28</f>
        <v>Total</v>
      </c>
      <c r="D33" s="81">
        <f>'Semester 1'!V28</f>
        <v>14</v>
      </c>
    </row>
    <row r="34" spans="2:4" ht="15" thickBot="1" x14ac:dyDescent="0.35">
      <c r="B34" s="168" t="s">
        <v>173</v>
      </c>
      <c r="C34" s="169"/>
      <c r="D34" s="170"/>
    </row>
    <row r="35" spans="2:4" x14ac:dyDescent="0.3">
      <c r="B35" s="74">
        <f>'Semester 2'!H23</f>
        <v>1</v>
      </c>
      <c r="C35" s="75" t="str">
        <f>'Semester 2'!I23</f>
        <v>English II</v>
      </c>
      <c r="D35" s="2">
        <f>'Semester 2'!N23</f>
        <v>3</v>
      </c>
    </row>
    <row r="36" spans="2:4" x14ac:dyDescent="0.3">
      <c r="B36" s="74">
        <f>'Semester 2'!H24</f>
        <v>2</v>
      </c>
      <c r="C36" s="75" t="str">
        <f>'Semester 2'!I24</f>
        <v>Principles of Marketing</v>
      </c>
      <c r="D36" s="2">
        <f>'Semester 2'!N24</f>
        <v>3</v>
      </c>
    </row>
    <row r="37" spans="2:4" x14ac:dyDescent="0.3">
      <c r="B37" s="74">
        <f>'Semester 2'!H25</f>
        <v>3</v>
      </c>
      <c r="C37" s="75" t="str">
        <f>'Semester 2'!I25</f>
        <v>Business Mathematics</v>
      </c>
      <c r="D37" s="2">
        <f>'Semester 2'!N25</f>
        <v>3</v>
      </c>
    </row>
    <row r="38" spans="2:4" x14ac:dyDescent="0.3">
      <c r="B38" s="74">
        <f>'Semester 2'!H26</f>
        <v>4</v>
      </c>
      <c r="C38" s="75" t="str">
        <f>'Semester 2'!I26</f>
        <v>Principles of Accounting</v>
      </c>
      <c r="D38" s="2">
        <f>'Semester 2'!N26</f>
        <v>3</v>
      </c>
    </row>
    <row r="39" spans="2:4" x14ac:dyDescent="0.3">
      <c r="B39" s="74">
        <f>'Semester 2'!H27</f>
        <v>5</v>
      </c>
      <c r="C39" s="75" t="str">
        <f>'Semester 2'!I27</f>
        <v>Pakistan Studies</v>
      </c>
      <c r="D39" s="2">
        <f>'Semester 2'!N27</f>
        <v>2</v>
      </c>
    </row>
    <row r="40" spans="2:4" ht="15" thickBot="1" x14ac:dyDescent="0.35">
      <c r="B40" s="76"/>
      <c r="C40" s="79" t="str">
        <f>'Semester 2'!I28</f>
        <v>Total</v>
      </c>
      <c r="D40" s="80">
        <f>'Semester 2'!N28</f>
        <v>14</v>
      </c>
    </row>
    <row r="41" spans="2:4" ht="15" thickBot="1" x14ac:dyDescent="0.35">
      <c r="B41" s="168" t="s">
        <v>174</v>
      </c>
      <c r="C41" s="169"/>
      <c r="D41" s="170"/>
    </row>
    <row r="42" spans="2:4" x14ac:dyDescent="0.3">
      <c r="B42" s="74">
        <f>'Semester 3'!F25</f>
        <v>1</v>
      </c>
      <c r="C42" s="75" t="str">
        <f>'Semester 3'!G25</f>
        <v>Oral communication</v>
      </c>
      <c r="D42" s="2">
        <f>'Semester 3'!H25</f>
        <v>3</v>
      </c>
    </row>
    <row r="43" spans="2:4" x14ac:dyDescent="0.3">
      <c r="B43" s="74">
        <f>'Semester 3'!F26</f>
        <v>2</v>
      </c>
      <c r="C43" s="75" t="str">
        <f>'Semester 3'!G26</f>
        <v>Principles of Microeconomics</v>
      </c>
      <c r="D43" s="2">
        <f>'Semester 3'!H26</f>
        <v>3</v>
      </c>
    </row>
    <row r="44" spans="2:4" x14ac:dyDescent="0.3">
      <c r="B44" s="74">
        <f>'Semester 3'!F27</f>
        <v>3</v>
      </c>
      <c r="C44" s="75" t="str">
        <f>'Semester 3'!G27</f>
        <v>Financial Accounting</v>
      </c>
      <c r="D44" s="2">
        <f>'Semester 3'!H27</f>
        <v>3</v>
      </c>
    </row>
    <row r="45" spans="2:4" x14ac:dyDescent="0.3">
      <c r="B45" s="74">
        <f>'Semester 3'!F28</f>
        <v>4</v>
      </c>
      <c r="C45" s="75" t="str">
        <f>'Semester 3'!G28</f>
        <v>Marketing Mnagement</v>
      </c>
      <c r="D45" s="2">
        <f>'Semester 3'!H28</f>
        <v>3</v>
      </c>
    </row>
    <row r="46" spans="2:4" x14ac:dyDescent="0.3">
      <c r="B46" s="74">
        <f>'Semester 3'!F29</f>
        <v>5</v>
      </c>
      <c r="C46" s="75" t="str">
        <f>'Semester 3'!G29</f>
        <v>Introduction to Statistics</v>
      </c>
      <c r="D46" s="2">
        <f>'Semester 3'!H29</f>
        <v>3</v>
      </c>
    </row>
    <row r="47" spans="2:4" ht="15" thickBot="1" x14ac:dyDescent="0.35">
      <c r="B47" s="76"/>
      <c r="C47" s="79" t="str">
        <f>'Semester 3'!G30</f>
        <v>Total</v>
      </c>
      <c r="D47" s="80">
        <f>'Semester 3'!H30</f>
        <v>15</v>
      </c>
    </row>
    <row r="48" spans="2:4" ht="15" thickBot="1" x14ac:dyDescent="0.35">
      <c r="B48" s="168" t="s">
        <v>175</v>
      </c>
      <c r="C48" s="169"/>
      <c r="D48" s="170"/>
    </row>
    <row r="49" spans="2:4" x14ac:dyDescent="0.3">
      <c r="B49" s="74">
        <f>'Semester 4'!F24</f>
        <v>1</v>
      </c>
      <c r="C49" s="75" t="str">
        <f>'Semester 4'!G24</f>
        <v>Business Finance</v>
      </c>
      <c r="D49" s="2">
        <f>'Semester 4'!H24</f>
        <v>3</v>
      </c>
    </row>
    <row r="50" spans="2:4" x14ac:dyDescent="0.3">
      <c r="B50" s="74">
        <f>'Semester 4'!F25</f>
        <v>2</v>
      </c>
      <c r="C50" s="75" t="str">
        <f>'Semester 4'!G25</f>
        <v>Management Infromation System</v>
      </c>
      <c r="D50" s="2">
        <f>'Semester 4'!H25</f>
        <v>3</v>
      </c>
    </row>
    <row r="51" spans="2:4" x14ac:dyDescent="0.3">
      <c r="B51" s="74">
        <f>'Semester 4'!F26</f>
        <v>3</v>
      </c>
      <c r="C51" s="75" t="str">
        <f>'Semester 4'!G26</f>
        <v>Business Communicaton</v>
      </c>
      <c r="D51" s="2">
        <f>'Semester 4'!H26</f>
        <v>3</v>
      </c>
    </row>
    <row r="52" spans="2:4" x14ac:dyDescent="0.3">
      <c r="B52" s="74">
        <f>'Semester 4'!F27</f>
        <v>4</v>
      </c>
      <c r="C52" s="75" t="str">
        <f>'Semester 4'!G27</f>
        <v>Statistical Inference</v>
      </c>
      <c r="D52" s="2">
        <f>'Semester 4'!H27</f>
        <v>3</v>
      </c>
    </row>
    <row r="53" spans="2:4" x14ac:dyDescent="0.3">
      <c r="B53" s="74">
        <f>'Semester 4'!F28</f>
        <v>5</v>
      </c>
      <c r="C53" s="75" t="str">
        <f>'Semester 4'!G28</f>
        <v>Business Ethics</v>
      </c>
      <c r="D53" s="2">
        <f>'Semester 4'!H28</f>
        <v>3</v>
      </c>
    </row>
    <row r="54" spans="2:4" x14ac:dyDescent="0.3">
      <c r="B54" s="74">
        <f>'Semester 4'!F29</f>
        <v>6</v>
      </c>
      <c r="C54" s="75" t="str">
        <f>'Semester 4'!G29</f>
        <v>Anthropology</v>
      </c>
      <c r="D54" s="2">
        <f>'Semester 4'!H29</f>
        <v>3</v>
      </c>
    </row>
    <row r="55" spans="2:4" ht="15" thickBot="1" x14ac:dyDescent="0.35">
      <c r="B55" s="76"/>
      <c r="C55" s="79" t="str">
        <f>'Semester 4'!G30</f>
        <v>Total</v>
      </c>
      <c r="D55" s="80">
        <f>'Semester 4'!H30</f>
        <v>18</v>
      </c>
    </row>
    <row r="56" spans="2:4" ht="15" thickBot="1" x14ac:dyDescent="0.35">
      <c r="B56" s="168" t="s">
        <v>176</v>
      </c>
      <c r="C56" s="169"/>
      <c r="D56" s="170"/>
    </row>
    <row r="57" spans="2:4" x14ac:dyDescent="0.3">
      <c r="B57" s="74">
        <f>'Semester 5'!F24</f>
        <v>1</v>
      </c>
      <c r="C57" s="75" t="str">
        <f>'Semester 5'!G24</f>
        <v>Management Accounting</v>
      </c>
      <c r="D57" s="2">
        <f>'Semester 5'!H24</f>
        <v>3</v>
      </c>
    </row>
    <row r="58" spans="2:4" x14ac:dyDescent="0.3">
      <c r="B58" s="74">
        <f>'Semester 5'!F25</f>
        <v>2</v>
      </c>
      <c r="C58" s="75" t="str">
        <f>'Semester 5'!G25</f>
        <v>Principles of  Macrorconomics</v>
      </c>
      <c r="D58" s="2">
        <f>'Semester 5'!H25</f>
        <v>3</v>
      </c>
    </row>
    <row r="59" spans="2:4" x14ac:dyDescent="0.3">
      <c r="B59" s="74">
        <f>'Semester 5'!F26</f>
        <v>3</v>
      </c>
      <c r="C59" s="75" t="str">
        <f>'Semester 5'!G26</f>
        <v>Organizational Behavior</v>
      </c>
      <c r="D59" s="2">
        <f>'Semester 5'!H26</f>
        <v>3</v>
      </c>
    </row>
    <row r="60" spans="2:4" x14ac:dyDescent="0.3">
      <c r="B60" s="74">
        <f>'Semester 5'!F27</f>
        <v>4</v>
      </c>
      <c r="C60" s="75" t="str">
        <f>'Semester 5'!G27</f>
        <v>Psychology</v>
      </c>
      <c r="D60" s="2">
        <f>'Semester 5'!H27</f>
        <v>3</v>
      </c>
    </row>
    <row r="61" spans="2:4" x14ac:dyDescent="0.3">
      <c r="B61" s="74">
        <f>'Semester 5'!F28</f>
        <v>5</v>
      </c>
      <c r="C61" s="75" t="str">
        <f>'Semester 5'!G28</f>
        <v>Human Resource Management</v>
      </c>
      <c r="D61" s="2">
        <f>'Semester 5'!H28</f>
        <v>3</v>
      </c>
    </row>
    <row r="62" spans="2:4" x14ac:dyDescent="0.3">
      <c r="B62" s="74">
        <f>'Semester 5'!F29</f>
        <v>6</v>
      </c>
      <c r="C62" s="75" t="str">
        <f>'Semester 5'!G29</f>
        <v>Personal and professional development</v>
      </c>
      <c r="D62" s="2">
        <f>'Semester 5'!H29</f>
        <v>3</v>
      </c>
    </row>
    <row r="63" spans="2:4" ht="15" thickBot="1" x14ac:dyDescent="0.35">
      <c r="B63" s="76"/>
      <c r="C63" s="79" t="str">
        <f>'Semester 5'!G30</f>
        <v>Total</v>
      </c>
      <c r="D63" s="80">
        <f>'Semester 5'!H30</f>
        <v>18</v>
      </c>
    </row>
    <row r="64" spans="2:4" ht="15" thickBot="1" x14ac:dyDescent="0.35">
      <c r="B64" s="168" t="s">
        <v>177</v>
      </c>
      <c r="C64" s="169"/>
      <c r="D64" s="170"/>
    </row>
    <row r="65" spans="2:4" x14ac:dyDescent="0.3">
      <c r="B65" s="74">
        <f>'Semester 6'!F22</f>
        <v>1</v>
      </c>
      <c r="C65" s="75" t="str">
        <f>'Semester 6'!G22</f>
        <v>Foreign language I</v>
      </c>
      <c r="D65" s="2">
        <f>'Semester 6'!H22</f>
        <v>3</v>
      </c>
    </row>
    <row r="66" spans="2:4" x14ac:dyDescent="0.3">
      <c r="B66" s="74">
        <f>'Semester 6'!F23</f>
        <v>2</v>
      </c>
      <c r="C66" s="75" t="str">
        <f>'Semester 6'!G23</f>
        <v>Business Research Methods</v>
      </c>
      <c r="D66" s="2">
        <f>'Semester 6'!H23</f>
        <v>3</v>
      </c>
    </row>
    <row r="67" spans="2:4" x14ac:dyDescent="0.3">
      <c r="B67" s="74">
        <f>'Semester 6'!F24</f>
        <v>3</v>
      </c>
      <c r="C67" s="75" t="str">
        <f>'Semester 6'!G24</f>
        <v>Financial Management</v>
      </c>
      <c r="D67" s="2">
        <f>'Semester 6'!H24</f>
        <v>3</v>
      </c>
    </row>
    <row r="68" spans="2:4" x14ac:dyDescent="0.3">
      <c r="B68" s="74">
        <f>'Semester 6'!F25</f>
        <v>4</v>
      </c>
      <c r="C68" s="75" t="str">
        <f>'Semester 6'!G25</f>
        <v>Business and Company LAW</v>
      </c>
      <c r="D68" s="2">
        <f>'Semester 6'!H25</f>
        <v>3</v>
      </c>
    </row>
    <row r="69" spans="2:4" x14ac:dyDescent="0.3">
      <c r="B69" s="74">
        <f>'Semester 6'!F26</f>
        <v>5</v>
      </c>
      <c r="C69" s="75" t="str">
        <f>'Semester 6'!G26</f>
        <v>Production and Operations Managements</v>
      </c>
      <c r="D69" s="2">
        <f>'Semester 6'!H26</f>
        <v>3</v>
      </c>
    </row>
    <row r="70" spans="2:4" x14ac:dyDescent="0.3">
      <c r="B70" s="74">
        <f>'Semester 6'!F27</f>
        <v>6</v>
      </c>
      <c r="C70" s="75" t="str">
        <f>'Semester 6'!G27</f>
        <v>Community Work</v>
      </c>
      <c r="D70" s="2">
        <f>'Semester 6'!H27</f>
        <v>1</v>
      </c>
    </row>
    <row r="71" spans="2:4" x14ac:dyDescent="0.3">
      <c r="B71" s="74">
        <f>'Semester 6'!F28</f>
        <v>7</v>
      </c>
      <c r="C71" s="75" t="str">
        <f>'Semester 6'!G28</f>
        <v>Internship</v>
      </c>
      <c r="D71" s="2">
        <f>'Semester 6'!H28</f>
        <v>2</v>
      </c>
    </row>
    <row r="72" spans="2:4" ht="15" thickBot="1" x14ac:dyDescent="0.35">
      <c r="B72" s="76"/>
      <c r="C72" s="79" t="str">
        <f>'Semester 6'!G29</f>
        <v>Total</v>
      </c>
      <c r="D72" s="80">
        <f>'Semester 6'!H29</f>
        <v>18</v>
      </c>
    </row>
    <row r="73" spans="2:4" ht="15" thickBot="1" x14ac:dyDescent="0.35">
      <c r="B73" s="168" t="s">
        <v>179</v>
      </c>
      <c r="C73" s="169"/>
      <c r="D73" s="170"/>
    </row>
    <row r="74" spans="2:4" x14ac:dyDescent="0.3">
      <c r="B74" s="71">
        <f>'Semester 7'!E24</f>
        <v>1</v>
      </c>
      <c r="C74" s="72" t="str">
        <f>'Semester 7'!F24</f>
        <v>Project Management</v>
      </c>
      <c r="D74" s="73">
        <f>'Semester 7'!G24</f>
        <v>3</v>
      </c>
    </row>
    <row r="75" spans="2:4" x14ac:dyDescent="0.3">
      <c r="B75" s="74">
        <f>'Semester 7'!E25</f>
        <v>2</v>
      </c>
      <c r="C75" s="75" t="str">
        <f>'Semester 7'!F25</f>
        <v>Entrepreneurship</v>
      </c>
      <c r="D75" s="2">
        <f>'Semester 7'!G25</f>
        <v>3</v>
      </c>
    </row>
    <row r="76" spans="2:4" x14ac:dyDescent="0.3">
      <c r="B76" s="74">
        <f>'Semester 7'!E26</f>
        <v>3</v>
      </c>
      <c r="C76" s="75" t="str">
        <f>'Semester 7'!F26</f>
        <v>Issues in Pkistan Economy</v>
      </c>
      <c r="D76" s="2">
        <f>'Semester 7'!G26</f>
        <v>3</v>
      </c>
    </row>
    <row r="77" spans="2:4" x14ac:dyDescent="0.3">
      <c r="B77" s="74">
        <f>'Semester 7'!E27</f>
        <v>4</v>
      </c>
      <c r="C77" s="75" t="str">
        <f>'Semester 7'!F27</f>
        <v>Seminar in Business Studies</v>
      </c>
      <c r="D77" s="2">
        <f>'Semester 7'!G27</f>
        <v>3</v>
      </c>
    </row>
    <row r="78" spans="2:4" x14ac:dyDescent="0.3">
      <c r="B78" s="74">
        <f>'Semester 7'!E28</f>
        <v>5</v>
      </c>
      <c r="C78" s="75" t="str">
        <f>'Semester 7'!F28</f>
        <v>Foreign Language II</v>
      </c>
      <c r="D78" s="2">
        <f>'Semester 7'!G28</f>
        <v>3</v>
      </c>
    </row>
    <row r="79" spans="2:4" x14ac:dyDescent="0.3">
      <c r="B79" s="74">
        <f>'Semester 7'!E29</f>
        <v>6</v>
      </c>
      <c r="C79" s="75" t="str">
        <f>'Semester 7'!F29</f>
        <v>Elective 1</v>
      </c>
      <c r="D79" s="2">
        <f>'Semester 7'!G29</f>
        <v>3</v>
      </c>
    </row>
    <row r="80" spans="2:4" ht="15" thickBot="1" x14ac:dyDescent="0.35">
      <c r="B80" s="76"/>
      <c r="C80" s="79" t="str">
        <f>'Semester 7'!F30</f>
        <v>Total</v>
      </c>
      <c r="D80" s="80">
        <f>'Semester 7'!G30</f>
        <v>18</v>
      </c>
    </row>
    <row r="81" spans="2:4" ht="15" thickBot="1" x14ac:dyDescent="0.35">
      <c r="B81" s="168" t="s">
        <v>180</v>
      </c>
      <c r="C81" s="169"/>
      <c r="D81" s="170"/>
    </row>
    <row r="82" spans="2:4" x14ac:dyDescent="0.3">
      <c r="B82" s="74">
        <f>'Semester 8'!F24</f>
        <v>1</v>
      </c>
      <c r="C82" s="75" t="str">
        <f>'Semester 8'!G24</f>
        <v>Business Policy</v>
      </c>
      <c r="D82" s="2">
        <f>'Semester 8'!H24</f>
        <v>3</v>
      </c>
    </row>
    <row r="83" spans="2:4" x14ac:dyDescent="0.3">
      <c r="B83" s="74">
        <f>'Semester 8'!F25</f>
        <v>2</v>
      </c>
      <c r="C83" s="75" t="str">
        <f>'Semester 8'!G25</f>
        <v>International Business</v>
      </c>
      <c r="D83" s="2">
        <f>'Semester 8'!H25</f>
        <v>3</v>
      </c>
    </row>
    <row r="84" spans="2:4" x14ac:dyDescent="0.3">
      <c r="B84" s="74">
        <f>'Semester 8'!F26</f>
        <v>3</v>
      </c>
      <c r="C84" s="75" t="str">
        <f>'Semester 8'!G26</f>
        <v>Critical Thinking and Logic</v>
      </c>
      <c r="D84" s="2">
        <f>'Semester 8'!H26</f>
        <v>3</v>
      </c>
    </row>
    <row r="85" spans="2:4" x14ac:dyDescent="0.3">
      <c r="B85" s="74">
        <f>'Semester 8'!F27</f>
        <v>4</v>
      </c>
      <c r="C85" s="75" t="str">
        <f>'Semester 8'!G27</f>
        <v>Elective 2</v>
      </c>
      <c r="D85" s="2">
        <f>'Semester 8'!H27</f>
        <v>3</v>
      </c>
    </row>
    <row r="86" spans="2:4" x14ac:dyDescent="0.3">
      <c r="B86" s="74">
        <f>'Semester 8'!F28</f>
        <v>5</v>
      </c>
      <c r="C86" s="75" t="str">
        <f>'Semester 8'!G28</f>
        <v>Elective 3</v>
      </c>
      <c r="D86" s="2">
        <f>'Semester 8'!H28</f>
        <v>3</v>
      </c>
    </row>
    <row r="87" spans="2:4" x14ac:dyDescent="0.3">
      <c r="B87" s="74">
        <f>'Semester 8'!F29</f>
        <v>6</v>
      </c>
      <c r="C87" s="75" t="str">
        <f>'Semester 8'!G29</f>
        <v>Project UG</v>
      </c>
      <c r="D87" s="2">
        <f>'Semester 8'!H29</f>
        <v>3</v>
      </c>
    </row>
    <row r="88" spans="2:4" ht="15" thickBot="1" x14ac:dyDescent="0.35">
      <c r="B88" s="76"/>
      <c r="C88" s="79" t="str">
        <f>'Semester 8'!G30</f>
        <v>Total</v>
      </c>
      <c r="D88" s="80">
        <f>'Semester 8'!H30</f>
        <v>18</v>
      </c>
    </row>
  </sheetData>
  <mergeCells count="83">
    <mergeCell ref="CI7:CJ9"/>
    <mergeCell ref="CW7:CX9"/>
    <mergeCell ref="AE7:AF9"/>
    <mergeCell ref="AQ7:AR9"/>
    <mergeCell ref="BE7:BF9"/>
    <mergeCell ref="BS7:BT9"/>
    <mergeCell ref="DN12:DN13"/>
    <mergeCell ref="DM12:DM13"/>
    <mergeCell ref="DL12:DL13"/>
    <mergeCell ref="DI12:DK12"/>
    <mergeCell ref="AE10:AF11"/>
    <mergeCell ref="AQ10:AR11"/>
    <mergeCell ref="AM12:AN12"/>
    <mergeCell ref="AE12:AF12"/>
    <mergeCell ref="AG12:AH12"/>
    <mergeCell ref="AI12:AJ12"/>
    <mergeCell ref="AK12:AL12"/>
    <mergeCell ref="AQ12:AR12"/>
    <mergeCell ref="AS12:AT12"/>
    <mergeCell ref="AU12:AV12"/>
    <mergeCell ref="AW12:AX12"/>
    <mergeCell ref="BM12:BN12"/>
    <mergeCell ref="AC12:AD12"/>
    <mergeCell ref="U12:V12"/>
    <mergeCell ref="W12:X12"/>
    <mergeCell ref="Y12:Z12"/>
    <mergeCell ref="B4:C4"/>
    <mergeCell ref="B5:C7"/>
    <mergeCell ref="AA12:AB12"/>
    <mergeCell ref="B11:C12"/>
    <mergeCell ref="S10:T11"/>
    <mergeCell ref="N12:O12"/>
    <mergeCell ref="F12:G12"/>
    <mergeCell ref="H12:I12"/>
    <mergeCell ref="J12:K12"/>
    <mergeCell ref="L12:M12"/>
    <mergeCell ref="S12:T12"/>
    <mergeCell ref="B8:C10"/>
    <mergeCell ref="S7:T9"/>
    <mergeCell ref="P12:R12"/>
    <mergeCell ref="B81:D81"/>
    <mergeCell ref="B27:D27"/>
    <mergeCell ref="B34:D34"/>
    <mergeCell ref="B41:D41"/>
    <mergeCell ref="B48:D48"/>
    <mergeCell ref="B56:D56"/>
    <mergeCell ref="B64:D64"/>
    <mergeCell ref="B73:D73"/>
    <mergeCell ref="BE12:BF12"/>
    <mergeCell ref="BG12:BH12"/>
    <mergeCell ref="BC12:BD12"/>
    <mergeCell ref="BA12:BB12"/>
    <mergeCell ref="BK12:BL12"/>
    <mergeCell ref="CU12:CV12"/>
    <mergeCell ref="CG12:CH12"/>
    <mergeCell ref="BQ12:BR12"/>
    <mergeCell ref="CM12:CN12"/>
    <mergeCell ref="CO12:CP12"/>
    <mergeCell ref="CQ12:CR12"/>
    <mergeCell ref="CS12:CT12"/>
    <mergeCell ref="CE12:CF12"/>
    <mergeCell ref="DG12:DH12"/>
    <mergeCell ref="CW12:CX12"/>
    <mergeCell ref="CY12:CZ12"/>
    <mergeCell ref="DA12:DB12"/>
    <mergeCell ref="DC12:DD12"/>
    <mergeCell ref="DE12:DF12"/>
    <mergeCell ref="CW10:CX11"/>
    <mergeCell ref="AO12:AP12"/>
    <mergeCell ref="CI12:CJ12"/>
    <mergeCell ref="CK12:CL12"/>
    <mergeCell ref="BS12:BT12"/>
    <mergeCell ref="BU12:BV12"/>
    <mergeCell ref="BW12:BX12"/>
    <mergeCell ref="BY12:BZ12"/>
    <mergeCell ref="CA12:CB12"/>
    <mergeCell ref="CC12:CD12"/>
    <mergeCell ref="BS10:BT11"/>
    <mergeCell ref="CI10:CJ11"/>
    <mergeCell ref="BI12:BJ12"/>
    <mergeCell ref="BE10:BF11"/>
    <mergeCell ref="AY12:AZ12"/>
    <mergeCell ref="BO12:BP12"/>
  </mergeCells>
  <phoneticPr fontId="20" type="noConversion"/>
  <conditionalFormatting sqref="DK23">
    <cfRule type="containsText" dxfId="15" priority="8" operator="containsText" text="Gold">
      <formula>NOT(ISERROR(SEARCH("Gold",DK23)))</formula>
    </cfRule>
    <cfRule type="containsText" dxfId="14" priority="11" operator="containsText" text="Gold">
      <formula>NOT(ISERROR(SEARCH("Gold",DK23)))</formula>
    </cfRule>
  </conditionalFormatting>
  <conditionalFormatting sqref="DK14:DK23">
    <cfRule type="containsText" dxfId="13" priority="10" operator="containsText" text="Silver">
      <formula>NOT(ISERROR(SEARCH("Silver",DK14)))</formula>
    </cfRule>
  </conditionalFormatting>
  <conditionalFormatting sqref="DK17">
    <cfRule type="containsText" dxfId="12" priority="9" operator="containsText" text="Bronze">
      <formula>NOT(ISERROR(SEARCH("Bronze",DK17)))</formula>
    </cfRule>
  </conditionalFormatting>
  <conditionalFormatting sqref="DK15">
    <cfRule type="containsText" dxfId="11" priority="5" operator="containsText" text="Bronze">
      <formula>NOT(ISERROR(SEARCH("Bronze",DK15)))</formula>
    </cfRule>
    <cfRule type="containsText" dxfId="10" priority="6" operator="containsText" text="Silver">
      <formula>NOT(ISERROR(SEARCH("Silver",DK15)))</formula>
    </cfRule>
    <cfRule type="containsText" dxfId="9" priority="7" operator="containsText" text="Gold">
      <formula>NOT(ISERROR(SEARCH("Gold",DK15)))</formula>
    </cfRule>
  </conditionalFormatting>
  <conditionalFormatting sqref="DK14:DK23">
    <cfRule type="containsText" dxfId="8" priority="2" operator="containsText" text="Bronze">
      <formula>NOT(ISERROR(SEARCH("Bronze",DK14)))</formula>
    </cfRule>
    <cfRule type="containsText" dxfId="7" priority="3" operator="containsText" text="Silver">
      <formula>NOT(ISERROR(SEARCH("Silver",DK14)))</formula>
    </cfRule>
    <cfRule type="containsText" dxfId="6" priority="4" operator="containsText" text="Gold">
      <formula>NOT(ISERROR(SEARCH("Gold",DK14)))</formula>
    </cfRule>
  </conditionalFormatting>
  <conditionalFormatting sqref="G14:G23 I14:I23 K14:K23 M14:M23 O14:O23 T14:T23 V14:V23 X14:X23 Z14:Z23 AB14:AB23 AF14:AF23 AH14:AH23 AJ14:AJ23 AL14:AL23 AN14:AN23 AR14:AR23 AT14:AT23 AV14:AV23 AX14:AX23 AZ14:AZ23 BB14:BB23 BF14:BF23 BH14:BH23 BJ14:BJ23 BL14:BL23 BN14:BN23 BP14:BP23 BT14:BT23 BV14:BV23 BX14:BX23 BZ14:BZ23 CB14:CB23 CD14:CD23 CF14:CF23 CJ14:CJ23 CL14:CL23 CN14:CN23 CP14:CP23 CR14:CR23 CX14:CX23 CZ14:CZ23 DB14:DB23 DD14:DD23 DF14:DF23 DH14:DH23 CT14:CT23">
    <cfRule type="containsText" dxfId="5" priority="1" operator="containsText" text="F">
      <formula>NOT(ISERROR(SEARCH("F",G14)))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ainMenu">
                <anchor moveWithCells="1" sizeWithCells="1">
                  <from>
                    <xdr:col>1</xdr:col>
                    <xdr:colOff>15240</xdr:colOff>
                    <xdr:row>1</xdr:row>
                    <xdr:rowOff>0</xdr:rowOff>
                  </from>
                  <to>
                    <xdr:col>2</xdr:col>
                    <xdr:colOff>1653540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0</xdr:rowOff>
                  </from>
                  <to>
                    <xdr:col>2</xdr:col>
                    <xdr:colOff>1653540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autoPageBreaks="0" fitToPage="1"/>
  </sheetPr>
  <dimension ref="A1:O65"/>
  <sheetViews>
    <sheetView showGridLines="0" tabSelected="1" topLeftCell="A51" zoomScale="66" zoomScaleNormal="85" workbookViewId="0">
      <selection activeCell="H75" sqref="H75"/>
    </sheetView>
  </sheetViews>
  <sheetFormatPr defaultColWidth="8.77734375" defaultRowHeight="14.4" x14ac:dyDescent="0.3"/>
  <cols>
    <col min="2" max="2" width="10.33203125" customWidth="1"/>
    <col min="4" max="4" width="2.109375" customWidth="1"/>
    <col min="5" max="5" width="15.77734375" customWidth="1"/>
    <col min="6" max="6" width="25.109375" customWidth="1"/>
    <col min="7" max="7" width="9.109375" customWidth="1"/>
    <col min="8" max="8" width="8.109375" customWidth="1"/>
    <col min="9" max="9" width="3.77734375" customWidth="1"/>
    <col min="10" max="10" width="12.6640625" customWidth="1"/>
    <col min="11" max="11" width="31" customWidth="1"/>
    <col min="12" max="12" width="8.44140625" customWidth="1"/>
    <col min="13" max="13" width="8.109375" customWidth="1"/>
    <col min="14" max="14" width="2.44140625" customWidth="1"/>
    <col min="15" max="15" width="4.6640625" customWidth="1"/>
  </cols>
  <sheetData>
    <row r="1" spans="1:15" ht="15" thickBot="1" x14ac:dyDescent="0.35"/>
    <row r="2" spans="1:15" ht="14.55" customHeight="1" x14ac:dyDescent="0.55000000000000004">
      <c r="D2" s="49"/>
      <c r="E2" s="55"/>
      <c r="F2" s="181" t="s">
        <v>183</v>
      </c>
      <c r="G2" s="181"/>
      <c r="H2" s="181"/>
      <c r="I2" s="181"/>
      <c r="J2" s="181"/>
      <c r="K2" s="181"/>
      <c r="L2" s="50"/>
      <c r="M2" s="50"/>
      <c r="N2" s="56"/>
    </row>
    <row r="3" spans="1:15" ht="14.55" customHeight="1" x14ac:dyDescent="0.55000000000000004">
      <c r="D3" s="22"/>
      <c r="E3" s="116"/>
      <c r="F3" s="182"/>
      <c r="G3" s="182"/>
      <c r="H3" s="182"/>
      <c r="I3" s="182"/>
      <c r="J3" s="182"/>
      <c r="K3" s="182"/>
      <c r="N3" s="23"/>
    </row>
    <row r="4" spans="1:15" ht="14.55" customHeight="1" thickBot="1" x14ac:dyDescent="0.35">
      <c r="D4" s="22"/>
      <c r="F4" s="182"/>
      <c r="G4" s="182"/>
      <c r="H4" s="182"/>
      <c r="I4" s="182"/>
      <c r="J4" s="182"/>
      <c r="K4" s="182"/>
      <c r="N4" s="23"/>
    </row>
    <row r="5" spans="1:15" ht="15.6" x14ac:dyDescent="0.3">
      <c r="A5" s="90"/>
      <c r="B5" s="91"/>
      <c r="D5" s="22"/>
      <c r="F5" s="183" t="s">
        <v>196</v>
      </c>
      <c r="G5" s="183"/>
      <c r="H5" s="183"/>
      <c r="I5" s="183"/>
      <c r="J5" s="183"/>
      <c r="K5" s="183"/>
      <c r="N5" s="23"/>
    </row>
    <row r="6" spans="1:15" x14ac:dyDescent="0.3">
      <c r="A6" s="92"/>
      <c r="B6" s="93"/>
      <c r="D6" s="22"/>
      <c r="N6" s="23"/>
    </row>
    <row r="7" spans="1:15" x14ac:dyDescent="0.3">
      <c r="A7" s="92"/>
      <c r="B7" s="93"/>
      <c r="D7" s="22"/>
      <c r="N7" s="23"/>
    </row>
    <row r="8" spans="1:15" x14ac:dyDescent="0.3">
      <c r="A8" s="92"/>
      <c r="B8" s="93"/>
      <c r="D8" s="22"/>
      <c r="N8" s="23"/>
    </row>
    <row r="9" spans="1:15" x14ac:dyDescent="0.3">
      <c r="A9" s="92"/>
      <c r="B9" s="93"/>
      <c r="D9" s="22"/>
      <c r="N9" s="23"/>
    </row>
    <row r="10" spans="1:15" x14ac:dyDescent="0.3">
      <c r="A10" s="92"/>
      <c r="B10" s="93"/>
      <c r="D10" s="22"/>
      <c r="H10" s="47" t="s">
        <v>90</v>
      </c>
      <c r="I10" s="47"/>
      <c r="J10" s="47"/>
      <c r="N10" s="23"/>
    </row>
    <row r="11" spans="1:15" x14ac:dyDescent="0.3">
      <c r="A11" s="92"/>
      <c r="B11" s="93"/>
      <c r="D11" s="22"/>
      <c r="H11" s="47" t="s">
        <v>91</v>
      </c>
      <c r="I11" s="47"/>
      <c r="J11" s="47"/>
      <c r="N11" s="23"/>
    </row>
    <row r="12" spans="1:15" x14ac:dyDescent="0.3">
      <c r="A12" s="92"/>
      <c r="B12" s="93"/>
      <c r="D12" s="22"/>
      <c r="E12" s="47" t="s">
        <v>156</v>
      </c>
      <c r="F12" s="120">
        <v>10</v>
      </c>
      <c r="N12" s="23"/>
    </row>
    <row r="13" spans="1:15" x14ac:dyDescent="0.3">
      <c r="A13" s="92"/>
      <c r="B13" s="93"/>
      <c r="D13" s="22"/>
      <c r="E13" s="47" t="s">
        <v>157</v>
      </c>
      <c r="F13" s="47" t="s">
        <v>104</v>
      </c>
      <c r="J13" s="47" t="s">
        <v>154</v>
      </c>
      <c r="K13" s="123" t="s">
        <v>197</v>
      </c>
      <c r="L13" s="52"/>
      <c r="N13" s="23"/>
    </row>
    <row r="14" spans="1:15" ht="15" thickBot="1" x14ac:dyDescent="0.35">
      <c r="A14" s="92"/>
      <c r="B14" s="93"/>
      <c r="D14" s="22"/>
      <c r="E14" s="47" t="s">
        <v>158</v>
      </c>
      <c r="F14" s="47" t="str">
        <f>VLOOKUP($F$12,'Cummulative Sheet'!$B$13:$DK$23,2,0)</f>
        <v>FUI/FURC/S-22-BBAH-078</v>
      </c>
      <c r="K14" s="125"/>
      <c r="N14" s="23"/>
    </row>
    <row r="15" spans="1:15" ht="15.6" thickTop="1" thickBot="1" x14ac:dyDescent="0.35">
      <c r="A15" s="92"/>
      <c r="B15" s="93"/>
      <c r="D15" s="22"/>
      <c r="E15" s="47" t="s">
        <v>159</v>
      </c>
      <c r="F15" s="47" t="str">
        <f>VLOOKUP($F$12,'Cummulative Sheet'!$B$13:$DK$23,3,0)</f>
        <v>Moeez Akbar</v>
      </c>
      <c r="J15" s="47" t="s">
        <v>155</v>
      </c>
      <c r="K15" s="127" t="str">
        <f>VLOOKUP($F$12,'Cummulative Sheet'!$B$13:$DK$23,114,0)</f>
        <v>Gold</v>
      </c>
      <c r="L15" s="124"/>
      <c r="N15" s="23"/>
      <c r="O15" s="52"/>
    </row>
    <row r="16" spans="1:15" ht="15" thickTop="1" x14ac:dyDescent="0.3">
      <c r="A16" s="92"/>
      <c r="B16" s="93"/>
      <c r="D16" s="22"/>
      <c r="E16" s="47" t="s">
        <v>160</v>
      </c>
      <c r="F16" s="47" t="str">
        <f>VLOOKUP($F$12,'Cummulative Sheet'!$B$13:$DK$23,4,0)</f>
        <v>Adil Akbar</v>
      </c>
      <c r="K16" s="126"/>
      <c r="N16" s="23"/>
    </row>
    <row r="17" spans="1:14" x14ac:dyDescent="0.3">
      <c r="A17" s="92"/>
      <c r="B17" s="93"/>
      <c r="D17" s="22"/>
      <c r="N17" s="23"/>
    </row>
    <row r="18" spans="1:14" x14ac:dyDescent="0.3">
      <c r="A18" s="92"/>
      <c r="B18" s="93"/>
      <c r="D18" s="22"/>
      <c r="E18" s="121"/>
      <c r="F18" s="122" t="s">
        <v>184</v>
      </c>
      <c r="G18" s="121"/>
      <c r="H18" s="121"/>
      <c r="J18" s="121"/>
      <c r="K18" s="122" t="s">
        <v>188</v>
      </c>
      <c r="L18" s="121"/>
      <c r="M18" s="121"/>
      <c r="N18" s="85"/>
    </row>
    <row r="19" spans="1:14" x14ac:dyDescent="0.3">
      <c r="A19" s="92"/>
      <c r="B19" s="93"/>
      <c r="D19" s="22"/>
      <c r="E19" s="113" t="s">
        <v>94</v>
      </c>
      <c r="F19" s="113" t="s">
        <v>95</v>
      </c>
      <c r="G19" s="113" t="s">
        <v>16</v>
      </c>
      <c r="H19" s="113" t="s">
        <v>0</v>
      </c>
      <c r="J19" s="113" t="s">
        <v>94</v>
      </c>
      <c r="K19" s="113" t="s">
        <v>95</v>
      </c>
      <c r="L19" s="113" t="s">
        <v>16</v>
      </c>
      <c r="M19" s="113" t="s">
        <v>0</v>
      </c>
      <c r="N19" s="61"/>
    </row>
    <row r="20" spans="1:14" x14ac:dyDescent="0.3">
      <c r="A20" s="92"/>
      <c r="B20" s="93"/>
      <c r="D20" s="22"/>
      <c r="E20" s="114" t="s">
        <v>96</v>
      </c>
      <c r="F20" s="114" t="str">
        <f>'Cummulative Sheet'!F12</f>
        <v>English - 1</v>
      </c>
      <c r="G20" s="115">
        <f>VLOOKUP($F$12,'Cummulative Sheet'!$B$13:$DK$23,5,0)</f>
        <v>86</v>
      </c>
      <c r="H20" s="115" t="str">
        <f>VLOOKUP($F$12,'Cummulative Sheet'!$B$13:$DK$23,6,0)</f>
        <v>A</v>
      </c>
      <c r="J20" s="114" t="s">
        <v>116</v>
      </c>
      <c r="K20" s="114" t="str">
        <f>'Cummulative Sheet'!BE12</f>
        <v>Management Accounting</v>
      </c>
      <c r="L20" s="115">
        <f>VLOOKUP($F$12,'Cummulative Sheet'!$B$13:$DK$23,56,0)</f>
        <v>81</v>
      </c>
      <c r="M20" s="115" t="str">
        <f>VLOOKUP($F$12,'Cummulative Sheet'!$B$13:$DK$23,57,0)</f>
        <v>A</v>
      </c>
      <c r="N20" s="62"/>
    </row>
    <row r="21" spans="1:14" x14ac:dyDescent="0.3">
      <c r="A21" s="92"/>
      <c r="B21" s="93"/>
      <c r="D21" s="22"/>
      <c r="E21" s="114" t="s">
        <v>97</v>
      </c>
      <c r="F21" s="114" t="str">
        <f>'Cummulative Sheet'!H12</f>
        <v>Introduction to Computer Applications</v>
      </c>
      <c r="G21" s="115">
        <f>VLOOKUP($F$12,'Cummulative Sheet'!$B$13:$DK$23,7,0)</f>
        <v>80</v>
      </c>
      <c r="H21" s="115" t="str">
        <f>VLOOKUP($F$12,'Cummulative Sheet'!$B$13:$DK$23,8,0)</f>
        <v>A</v>
      </c>
      <c r="J21" s="114" t="s">
        <v>117</v>
      </c>
      <c r="K21" s="114" t="str">
        <f>'Cummulative Sheet'!BG12</f>
        <v>Principles of Macroeconomics</v>
      </c>
      <c r="L21" s="115">
        <f>VLOOKUP($F$12,'Cummulative Sheet'!$B$13:$DK$23,58,0)</f>
        <v>80</v>
      </c>
      <c r="M21" s="115" t="str">
        <f>VLOOKUP($F$12,'Cummulative Sheet'!$B$13:$DK$23,59,0)</f>
        <v>A</v>
      </c>
      <c r="N21" s="62"/>
    </row>
    <row r="22" spans="1:14" x14ac:dyDescent="0.3">
      <c r="A22" s="92"/>
      <c r="B22" s="93"/>
      <c r="D22" s="22"/>
      <c r="E22" s="114" t="s">
        <v>98</v>
      </c>
      <c r="F22" s="114" t="str">
        <f>'Cummulative Sheet'!J12</f>
        <v>Principles of Management</v>
      </c>
      <c r="G22" s="115">
        <f>VLOOKUP($F$12,'Cummulative Sheet'!$B$13:$DK$23,9,0)</f>
        <v>70</v>
      </c>
      <c r="H22" s="115" t="str">
        <f>VLOOKUP($F$12,'Cummulative Sheet'!$B$13:$DK$23,10,0)</f>
        <v>B</v>
      </c>
      <c r="J22" s="114" t="s">
        <v>118</v>
      </c>
      <c r="K22" s="114" t="str">
        <f>'Cummulative Sheet'!BI12</f>
        <v>Organizational Behavior</v>
      </c>
      <c r="L22" s="115">
        <f>VLOOKUP($F$12,'Cummulative Sheet'!$B$13:$DK$23,60,0)</f>
        <v>86</v>
      </c>
      <c r="M22" s="115" t="str">
        <f>VLOOKUP($F$12,'Cummulative Sheet'!$B$13:$DK$23,61,0)</f>
        <v>A</v>
      </c>
      <c r="N22" s="62"/>
    </row>
    <row r="23" spans="1:14" x14ac:dyDescent="0.3">
      <c r="A23" s="92"/>
      <c r="B23" s="93"/>
      <c r="D23" s="22"/>
      <c r="E23" s="114" t="s">
        <v>99</v>
      </c>
      <c r="F23" s="114" t="str">
        <f>'Cummulative Sheet'!L12</f>
        <v>Islamic Studies</v>
      </c>
      <c r="G23" s="115">
        <f>VLOOKUP($F$12,'Cummulative Sheet'!$B$13:$DK$23,11,0)</f>
        <v>87</v>
      </c>
      <c r="H23" s="115" t="str">
        <f>VLOOKUP($F$12,'Cummulative Sheet'!$B$13:$DK$23,12,0)</f>
        <v>A</v>
      </c>
      <c r="J23" s="114" t="s">
        <v>119</v>
      </c>
      <c r="K23" s="114" t="str">
        <f>'Cummulative Sheet'!BK12</f>
        <v>Psycology</v>
      </c>
      <c r="L23" s="115">
        <f>VLOOKUP($F$12,'Cummulative Sheet'!$B$13:$DK$23,62,0)</f>
        <v>75</v>
      </c>
      <c r="M23" s="115" t="str">
        <f>VLOOKUP($F$12,'Cummulative Sheet'!$B$13:$DK$23,63,0)</f>
        <v>B</v>
      </c>
      <c r="N23" s="62"/>
    </row>
    <row r="24" spans="1:14" x14ac:dyDescent="0.3">
      <c r="A24" s="92"/>
      <c r="B24" s="93"/>
      <c r="D24" s="22"/>
      <c r="E24" s="114" t="s">
        <v>100</v>
      </c>
      <c r="F24" s="114" t="str">
        <f>'Cummulative Sheet'!N12</f>
        <v>Sociology</v>
      </c>
      <c r="G24" s="115">
        <f>VLOOKUP($F$12,'Cummulative Sheet'!$B$13:$DK$23,13,0)</f>
        <v>82</v>
      </c>
      <c r="H24" s="115" t="str">
        <f>VLOOKUP($F$12,'Cummulative Sheet'!$B$13:$DK$23,14,0)</f>
        <v>A</v>
      </c>
      <c r="J24" s="114" t="s">
        <v>120</v>
      </c>
      <c r="K24" s="114" t="str">
        <f>'Cummulative Sheet'!BM12</f>
        <v>Human Resource Management</v>
      </c>
      <c r="L24" s="115">
        <f>VLOOKUP($F$12,'Cummulative Sheet'!$B$13:$DK$23,64,0)</f>
        <v>70</v>
      </c>
      <c r="M24" s="115" t="str">
        <f>VLOOKUP($F$12,'Cummulative Sheet'!$B$13:$DK$23,65,0)</f>
        <v>B</v>
      </c>
      <c r="N24" s="62"/>
    </row>
    <row r="25" spans="1:14" x14ac:dyDescent="0.3">
      <c r="A25" s="92"/>
      <c r="B25" s="93"/>
      <c r="D25" s="22"/>
      <c r="E25" s="47" t="s">
        <v>13</v>
      </c>
      <c r="F25" s="117">
        <f>VLOOKUP($F$12,'Cummulative Sheet'!$B$13:$DK$23,15,0)</f>
        <v>3.7857142857142856</v>
      </c>
      <c r="G25" s="47" t="s">
        <v>14</v>
      </c>
      <c r="H25" s="117">
        <f>VLOOKUP($F$12,'Cummulative Sheet'!$B$13:$DK$23,16,0)</f>
        <v>3.7857142857142856</v>
      </c>
      <c r="J25" s="114" t="s">
        <v>121</v>
      </c>
      <c r="K25" s="114" t="str">
        <f>'Cummulative Sheet'!BO12</f>
        <v>Personal &amp; Professional Development</v>
      </c>
      <c r="L25" s="115">
        <f>VLOOKUP($F$12,'Cummulative Sheet'!$B$13:$DK$23,66,0)</f>
        <v>78</v>
      </c>
      <c r="M25" s="115" t="str">
        <f>VLOOKUP($F$12,'Cummulative Sheet'!$B$13:$DK$23,67,0)</f>
        <v>B</v>
      </c>
      <c r="N25" s="62"/>
    </row>
    <row r="26" spans="1:14" x14ac:dyDescent="0.3">
      <c r="A26" s="92"/>
      <c r="B26" s="93"/>
      <c r="D26" s="22"/>
      <c r="J26" s="47" t="s">
        <v>13</v>
      </c>
      <c r="K26" s="117">
        <f>VLOOKUP($F$12,'Cummulative Sheet'!$B$13:$DK$23,68,0)</f>
        <v>3.5</v>
      </c>
      <c r="L26" s="47" t="s">
        <v>14</v>
      </c>
      <c r="M26" s="117">
        <f>VLOOKUP($F$12,'Cummulative Sheet'!$B$13:$DK$23,69,0)</f>
        <v>3.714285714285714</v>
      </c>
      <c r="N26" s="63"/>
    </row>
    <row r="27" spans="1:14" x14ac:dyDescent="0.3">
      <c r="A27" s="92"/>
      <c r="B27" s="93"/>
      <c r="D27" s="22"/>
      <c r="N27" s="23"/>
    </row>
    <row r="28" spans="1:14" x14ac:dyDescent="0.3">
      <c r="A28" s="92"/>
      <c r="B28" s="93"/>
      <c r="D28" s="22"/>
      <c r="E28" s="121"/>
      <c r="F28" s="122" t="s">
        <v>185</v>
      </c>
      <c r="G28" s="121"/>
      <c r="H28" s="121"/>
      <c r="J28" s="121"/>
      <c r="K28" s="122" t="s">
        <v>189</v>
      </c>
      <c r="L28" s="121"/>
      <c r="M28" s="121"/>
      <c r="N28" s="85"/>
    </row>
    <row r="29" spans="1:14" x14ac:dyDescent="0.3">
      <c r="A29" s="92"/>
      <c r="B29" s="93"/>
      <c r="D29" s="22"/>
      <c r="E29" s="113" t="s">
        <v>94</v>
      </c>
      <c r="F29" s="113" t="s">
        <v>95</v>
      </c>
      <c r="G29" s="113" t="s">
        <v>16</v>
      </c>
      <c r="H29" s="113" t="s">
        <v>0</v>
      </c>
      <c r="J29" s="113" t="s">
        <v>94</v>
      </c>
      <c r="K29" s="113" t="s">
        <v>95</v>
      </c>
      <c r="L29" s="113" t="s">
        <v>16</v>
      </c>
      <c r="M29" s="113" t="s">
        <v>0</v>
      </c>
      <c r="N29" s="61"/>
    </row>
    <row r="30" spans="1:14" x14ac:dyDescent="0.3">
      <c r="A30" s="92"/>
      <c r="B30" s="93"/>
      <c r="D30" s="22"/>
      <c r="E30" s="114" t="s">
        <v>101</v>
      </c>
      <c r="F30" s="114" t="str">
        <f>'Cummulative Sheet'!S12</f>
        <v>English - II</v>
      </c>
      <c r="G30" s="115">
        <f>VLOOKUP($F$12,'Cummulative Sheet'!$B$13:$DK$23,18,0)</f>
        <v>86</v>
      </c>
      <c r="H30" s="115" t="str">
        <f>VLOOKUP($F$12,'Cummulative Sheet'!$B$13:$DK$23,19,0)</f>
        <v>A</v>
      </c>
      <c r="J30" s="114" t="s">
        <v>122</v>
      </c>
      <c r="K30" s="114" t="str">
        <f>'Cummulative Sheet'!BS12</f>
        <v>Foreign Language I</v>
      </c>
      <c r="L30" s="115">
        <f>VLOOKUP($F$12,'Cummulative Sheet'!$B$13:$DK$23,70,0)</f>
        <v>70</v>
      </c>
      <c r="M30" s="115" t="str">
        <f>VLOOKUP($F$12,'Cummulative Sheet'!$B$13:$DK$23,71,0)</f>
        <v>B</v>
      </c>
      <c r="N30" s="62"/>
    </row>
    <row r="31" spans="1:14" x14ac:dyDescent="0.3">
      <c r="A31" s="92"/>
      <c r="B31" s="93"/>
      <c r="D31" s="22"/>
      <c r="E31" s="114" t="s">
        <v>102</v>
      </c>
      <c r="F31" s="114" t="str">
        <f>'Cummulative Sheet'!U12</f>
        <v>Principles of Marketing</v>
      </c>
      <c r="G31" s="115">
        <f>VLOOKUP($F$12,'Cummulative Sheet'!$B$13:$DK$23,20,0)</f>
        <v>88</v>
      </c>
      <c r="H31" s="115" t="str">
        <f>VLOOKUP($F$12,'Cummulative Sheet'!$B$13:$DK$23,21,0)</f>
        <v>A</v>
      </c>
      <c r="J31" s="114" t="s">
        <v>123</v>
      </c>
      <c r="K31" s="114" t="str">
        <f>'Cummulative Sheet'!BU12</f>
        <v>Business Research Methods</v>
      </c>
      <c r="L31" s="115">
        <f>VLOOKUP($F$12,'Cummulative Sheet'!$B$13:$DK$23,72,0)</f>
        <v>88</v>
      </c>
      <c r="M31" s="115" t="str">
        <f>VLOOKUP($F$12,'Cummulative Sheet'!$B$13:$DK$23,73,0)</f>
        <v>A</v>
      </c>
      <c r="N31" s="62"/>
    </row>
    <row r="32" spans="1:14" x14ac:dyDescent="0.3">
      <c r="A32" s="92"/>
      <c r="B32" s="93"/>
      <c r="D32" s="22"/>
      <c r="E32" s="114" t="s">
        <v>152</v>
      </c>
      <c r="F32" s="114" t="str">
        <f>'Cummulative Sheet'!W12</f>
        <v>Business Mathematics</v>
      </c>
      <c r="G32" s="115">
        <f>VLOOKUP($F$12,'Cummulative Sheet'!$B$13:$DK$23,22,0)</f>
        <v>86</v>
      </c>
      <c r="H32" s="115" t="str">
        <f>VLOOKUP($F$12,'Cummulative Sheet'!$B$13:$DK$23,23,0)</f>
        <v>A</v>
      </c>
      <c r="J32" s="114" t="s">
        <v>124</v>
      </c>
      <c r="K32" s="114" t="str">
        <f>'Cummulative Sheet'!BW12</f>
        <v>Financial Management</v>
      </c>
      <c r="L32" s="115">
        <f>VLOOKUP($F$12,'Cummulative Sheet'!$B$13:$DK$23,74,0)</f>
        <v>85</v>
      </c>
      <c r="M32" s="115" t="str">
        <f>VLOOKUP($F$12,'Cummulative Sheet'!$B$13:$DK$23,75,0)</f>
        <v>A</v>
      </c>
      <c r="N32" s="62"/>
    </row>
    <row r="33" spans="1:14" x14ac:dyDescent="0.3">
      <c r="A33" s="92"/>
      <c r="B33" s="93"/>
      <c r="D33" s="22"/>
      <c r="E33" s="114" t="s">
        <v>153</v>
      </c>
      <c r="F33" s="114" t="str">
        <f>'Cummulative Sheet'!Y12</f>
        <v>Principles of Accounting</v>
      </c>
      <c r="G33" s="115">
        <f>VLOOKUP($F$12,'Cummulative Sheet'!$B$13:$DK$23,24,0)</f>
        <v>76</v>
      </c>
      <c r="H33" s="115" t="str">
        <f>VLOOKUP($F$12,'Cummulative Sheet'!$B$13:$DK$23,25,0)</f>
        <v>B</v>
      </c>
      <c r="J33" s="114" t="s">
        <v>125</v>
      </c>
      <c r="K33" s="114" t="str">
        <f>'Cummulative Sheet'!BY12</f>
        <v>Business and Company Law</v>
      </c>
      <c r="L33" s="115">
        <f>VLOOKUP($F$12,'Cummulative Sheet'!$B$13:$DK$23,76,0)</f>
        <v>85</v>
      </c>
      <c r="M33" s="115" t="str">
        <f>VLOOKUP($F$12,'Cummulative Sheet'!$B$13:$DK$23,77,0)</f>
        <v>A</v>
      </c>
      <c r="N33" s="62"/>
    </row>
    <row r="34" spans="1:14" x14ac:dyDescent="0.3">
      <c r="A34" s="92"/>
      <c r="B34" s="93"/>
      <c r="D34" s="22"/>
      <c r="E34" s="114" t="s">
        <v>103</v>
      </c>
      <c r="F34" s="114" t="str">
        <f>'Cummulative Sheet'!AA12</f>
        <v>Pakistan Studies</v>
      </c>
      <c r="G34" s="115">
        <f>VLOOKUP($F$12,'Cummulative Sheet'!$B$13:$DK$23,26,0)</f>
        <v>88</v>
      </c>
      <c r="H34" s="115" t="str">
        <f>VLOOKUP($F$12,'Cummulative Sheet'!$B$13:$DK$23,27,0)</f>
        <v>A</v>
      </c>
      <c r="J34" s="114" t="s">
        <v>126</v>
      </c>
      <c r="K34" s="114" t="str">
        <f>'Cummulative Sheet'!CA12</f>
        <v>Production and Operations Managements</v>
      </c>
      <c r="L34" s="115">
        <f>VLOOKUP($F$12,'Cummulative Sheet'!$B$13:$DK$23,78,0)</f>
        <v>75</v>
      </c>
      <c r="M34" s="115" t="str">
        <f>VLOOKUP($F$12,'Cummulative Sheet'!$B$13:$DK$23,79,0)</f>
        <v>B</v>
      </c>
      <c r="N34" s="62"/>
    </row>
    <row r="35" spans="1:14" x14ac:dyDescent="0.3">
      <c r="A35" s="92"/>
      <c r="B35" s="93"/>
      <c r="D35" s="22"/>
      <c r="E35" s="47" t="s">
        <v>13</v>
      </c>
      <c r="F35" s="117">
        <f>VLOOKUP($F$12,'Cummulative Sheet'!$B$13:$DK$23,28,0)</f>
        <v>3.7857142857142856</v>
      </c>
      <c r="G35" s="47" t="s">
        <v>14</v>
      </c>
      <c r="H35" s="117">
        <f>VLOOKUP($F$12,'Cummulative Sheet'!$B$13:$DK$23,29,0)</f>
        <v>3.7878571428571428</v>
      </c>
      <c r="J35" s="114" t="s">
        <v>127</v>
      </c>
      <c r="K35" s="114" t="str">
        <f>'Cummulative Sheet'!CC12</f>
        <v>Community Work</v>
      </c>
      <c r="L35" s="115">
        <f>VLOOKUP($F$12,'Cummulative Sheet'!$B$13:$DK$23,80,0)</f>
        <v>87</v>
      </c>
      <c r="M35" s="115" t="str">
        <f>VLOOKUP($F$12,'Cummulative Sheet'!$B$13:$DK$23,81,0)</f>
        <v>A</v>
      </c>
      <c r="N35" s="62"/>
    </row>
    <row r="36" spans="1:14" x14ac:dyDescent="0.3">
      <c r="A36" s="92"/>
      <c r="B36" s="93"/>
      <c r="D36" s="22"/>
      <c r="J36" s="114" t="s">
        <v>128</v>
      </c>
      <c r="K36" s="114" t="str">
        <f>'Cummulative Sheet'!CE12</f>
        <v>Internship</v>
      </c>
      <c r="L36" s="115">
        <f>VLOOKUP($F$12,'Cummulative Sheet'!$B$13:$DK$23,82,0)</f>
        <v>82</v>
      </c>
      <c r="M36" s="115" t="str">
        <f>VLOOKUP($F$12,'Cummulative Sheet'!$B$13:$DK$23,83,0)</f>
        <v>A</v>
      </c>
      <c r="N36" s="62"/>
    </row>
    <row r="37" spans="1:14" x14ac:dyDescent="0.3">
      <c r="A37" s="92"/>
      <c r="B37" s="93"/>
      <c r="D37" s="22"/>
      <c r="J37" s="47" t="s">
        <v>13</v>
      </c>
      <c r="K37" s="117">
        <f>VLOOKUP($F$12,'Cummulative Sheet'!$B$13:$DK$23,84,0)</f>
        <v>3.6666666666666665</v>
      </c>
      <c r="L37" s="117" t="s">
        <v>14</v>
      </c>
      <c r="M37" s="117">
        <f>VLOOKUP($F$12,'Cummulative Sheet'!$B$13:$DK$23,85,0)</f>
        <v>3.7063492063492061</v>
      </c>
      <c r="N37" s="63"/>
    </row>
    <row r="38" spans="1:14" x14ac:dyDescent="0.3">
      <c r="A38" s="92"/>
      <c r="B38" s="93"/>
      <c r="D38" s="22"/>
      <c r="N38" s="23"/>
    </row>
    <row r="39" spans="1:14" x14ac:dyDescent="0.3">
      <c r="A39" s="92"/>
      <c r="B39" s="93"/>
      <c r="D39" s="22"/>
      <c r="E39" s="121"/>
      <c r="F39" s="122" t="s">
        <v>186</v>
      </c>
      <c r="G39" s="121"/>
      <c r="H39" s="121"/>
      <c r="J39" s="121"/>
      <c r="K39" s="122" t="s">
        <v>190</v>
      </c>
      <c r="L39" s="121"/>
      <c r="M39" s="121"/>
      <c r="N39" s="85"/>
    </row>
    <row r="40" spans="1:14" x14ac:dyDescent="0.3">
      <c r="A40" s="92"/>
      <c r="B40" s="93"/>
      <c r="D40" s="22"/>
      <c r="E40" s="113" t="s">
        <v>94</v>
      </c>
      <c r="F40" s="113" t="s">
        <v>95</v>
      </c>
      <c r="G40" s="113" t="s">
        <v>16</v>
      </c>
      <c r="H40" s="113" t="s">
        <v>0</v>
      </c>
      <c r="J40" s="113" t="s">
        <v>94</v>
      </c>
      <c r="K40" s="113" t="s">
        <v>95</v>
      </c>
      <c r="L40" s="113" t="s">
        <v>16</v>
      </c>
      <c r="M40" s="113" t="s">
        <v>0</v>
      </c>
      <c r="N40" s="61"/>
    </row>
    <row r="41" spans="1:14" x14ac:dyDescent="0.3">
      <c r="A41" s="92"/>
      <c r="B41" s="93"/>
      <c r="D41" s="22"/>
      <c r="E41" s="114" t="s">
        <v>147</v>
      </c>
      <c r="F41" s="114" t="str">
        <f>'Cummulative Sheet'!AE12</f>
        <v>Oral Communication</v>
      </c>
      <c r="G41" s="115">
        <f>VLOOKUP($F$12,'Cummulative Sheet'!$B$13:$DK$23,30,0)</f>
        <v>86</v>
      </c>
      <c r="H41" s="115" t="str">
        <f>VLOOKUP($F$12,'Cummulative Sheet'!$B$13:$DK$23,31,0)</f>
        <v>A</v>
      </c>
      <c r="J41" s="114" t="s">
        <v>129</v>
      </c>
      <c r="K41" s="114" t="str">
        <f>'Cummulative Sheet'!CI12</f>
        <v>Project Management</v>
      </c>
      <c r="L41" s="115">
        <f>VLOOKUP($F$12,'Cummulative Sheet'!$B$13:$DK$23,86,0)</f>
        <v>78</v>
      </c>
      <c r="M41" s="115" t="str">
        <f>VLOOKUP($F$12,'Cummulative Sheet'!$B$13:$DK$23,87,0)</f>
        <v>B</v>
      </c>
      <c r="N41" s="62"/>
    </row>
    <row r="42" spans="1:14" x14ac:dyDescent="0.3">
      <c r="A42" s="92"/>
      <c r="B42" s="93"/>
      <c r="D42" s="22"/>
      <c r="E42" s="114" t="s">
        <v>148</v>
      </c>
      <c r="F42" s="114" t="str">
        <f>'Cummulative Sheet'!AG12</f>
        <v>Principles of Microeconomics</v>
      </c>
      <c r="G42" s="115">
        <f>VLOOKUP($F$12,'Cummulative Sheet'!$B$13:$DK$23,32,0)</f>
        <v>86</v>
      </c>
      <c r="H42" s="115" t="str">
        <f>VLOOKUP($F$12,'Cummulative Sheet'!$B$13:$DK$23,33,0)</f>
        <v>A</v>
      </c>
      <c r="J42" s="114" t="s">
        <v>130</v>
      </c>
      <c r="K42" s="114" t="str">
        <f>'Cummulative Sheet'!CK12</f>
        <v>Entrepreneurship</v>
      </c>
      <c r="L42" s="115">
        <f>VLOOKUP($F$12,'Cummulative Sheet'!$B$13:$DK$23,88,0)</f>
        <v>61</v>
      </c>
      <c r="M42" s="115" t="str">
        <f>VLOOKUP($F$12,'Cummulative Sheet'!$B$13:$DK$23,89,0)</f>
        <v>C</v>
      </c>
      <c r="N42" s="62"/>
    </row>
    <row r="43" spans="1:14" x14ac:dyDescent="0.3">
      <c r="A43" s="92"/>
      <c r="B43" s="93"/>
      <c r="D43" s="22"/>
      <c r="E43" s="114" t="s">
        <v>149</v>
      </c>
      <c r="F43" s="114" t="str">
        <f>'Cummulative Sheet'!AI12</f>
        <v>Financial Accounting</v>
      </c>
      <c r="G43" s="115">
        <f>VLOOKUP($F$12,'Cummulative Sheet'!$B$13:$DK$23,34,0)</f>
        <v>88</v>
      </c>
      <c r="H43" s="115" t="str">
        <f>VLOOKUP($F$12,'Cummulative Sheet'!$B$13:$DK$23,35,0)</f>
        <v>A</v>
      </c>
      <c r="J43" s="114" t="s">
        <v>131</v>
      </c>
      <c r="K43" s="114" t="str">
        <f>'Cummulative Sheet'!CM12</f>
        <v>Issues in Pakistan Economy</v>
      </c>
      <c r="L43" s="115">
        <f>VLOOKUP($F$12,'Cummulative Sheet'!$B$13:$DK$23,90,0)</f>
        <v>70</v>
      </c>
      <c r="M43" s="115" t="str">
        <f>VLOOKUP($F$12,'Cummulative Sheet'!$B$13:$DK$23,91,0)</f>
        <v>B</v>
      </c>
      <c r="N43" s="62"/>
    </row>
    <row r="44" spans="1:14" x14ac:dyDescent="0.3">
      <c r="A44" s="92"/>
      <c r="B44" s="93"/>
      <c r="D44" s="22"/>
      <c r="E44" s="114" t="s">
        <v>150</v>
      </c>
      <c r="F44" s="114" t="str">
        <f>'Cummulative Sheet'!AK12</f>
        <v>Marketing Management</v>
      </c>
      <c r="G44" s="115">
        <f>VLOOKUP($F$12,'Cummulative Sheet'!$B$13:$DK$23,36,0)</f>
        <v>84</v>
      </c>
      <c r="H44" s="115" t="str">
        <f>VLOOKUP($F$12,'Cummulative Sheet'!$B$13:$DK$23,37,0)</f>
        <v>A</v>
      </c>
      <c r="J44" s="114" t="s">
        <v>132</v>
      </c>
      <c r="K44" s="114" t="str">
        <f>'Cummulative Sheet'!CO12</f>
        <v>Seminar in Business Studies</v>
      </c>
      <c r="L44" s="115">
        <f>VLOOKUP($F$12,'Cummulative Sheet'!$B$13:$DK$23,92,0)</f>
        <v>82</v>
      </c>
      <c r="M44" s="115" t="str">
        <f>VLOOKUP($F$12,'Cummulative Sheet'!$B$13:$DK$23,93,0)</f>
        <v>A</v>
      </c>
      <c r="N44" s="62"/>
    </row>
    <row r="45" spans="1:14" x14ac:dyDescent="0.3">
      <c r="A45" s="92"/>
      <c r="B45" s="93"/>
      <c r="D45" s="22"/>
      <c r="E45" s="114" t="s">
        <v>151</v>
      </c>
      <c r="F45" s="114" t="str">
        <f>'Cummulative Sheet'!AM12</f>
        <v>Introduction to Statistics</v>
      </c>
      <c r="G45" s="115">
        <f>VLOOKUP($F$12,'Cummulative Sheet'!$B$13:$DK$23,38,0)</f>
        <v>85</v>
      </c>
      <c r="H45" s="115" t="str">
        <f>VLOOKUP($F$12,'Cummulative Sheet'!$B$13:$DK$23,39,0)</f>
        <v>A</v>
      </c>
      <c r="J45" s="114" t="s">
        <v>133</v>
      </c>
      <c r="K45" s="114" t="str">
        <f>'Cummulative Sheet'!CQ12</f>
        <v>Foreign Language II</v>
      </c>
      <c r="L45" s="115">
        <f>VLOOKUP($F$12,'Cummulative Sheet'!$B$13:$DK$23,94,0)</f>
        <v>71</v>
      </c>
      <c r="M45" s="115" t="str">
        <f>VLOOKUP($F$12,'Cummulative Sheet'!$B$13:$DK$23,95,0)</f>
        <v>B</v>
      </c>
      <c r="N45" s="62"/>
    </row>
    <row r="46" spans="1:14" x14ac:dyDescent="0.3">
      <c r="A46" s="92"/>
      <c r="B46" s="93" t="s">
        <v>220</v>
      </c>
      <c r="D46" s="22"/>
      <c r="E46" s="47" t="s">
        <v>13</v>
      </c>
      <c r="F46" s="117">
        <f>VLOOKUP($F$12,'Cummulative Sheet'!$B$13:$DK$23,40,0)</f>
        <v>4</v>
      </c>
      <c r="G46" s="47" t="s">
        <v>14</v>
      </c>
      <c r="H46" s="117">
        <f>VLOOKUP($F$12,'Cummulative Sheet'!$B$13:$DK$23,41,0)</f>
        <v>3.8928571428571428</v>
      </c>
      <c r="J46" s="114" t="s">
        <v>134</v>
      </c>
      <c r="K46" s="114" t="str">
        <f>'Cummulative Sheet'!CS12</f>
        <v>Elective 1</v>
      </c>
      <c r="L46" s="115">
        <f>VLOOKUP($F$12,'Cummulative Sheet'!$B$13:$DK$23,96,0)</f>
        <v>72</v>
      </c>
      <c r="M46" s="115" t="str">
        <f>VLOOKUP($F$12,'Cummulative Sheet'!$B$13:$DK$23,97,0)</f>
        <v>B</v>
      </c>
      <c r="N46" s="62"/>
    </row>
    <row r="47" spans="1:14" x14ac:dyDescent="0.3">
      <c r="A47" s="92"/>
      <c r="B47" s="93"/>
      <c r="D47" s="22"/>
      <c r="J47" s="47" t="s">
        <v>13</v>
      </c>
      <c r="K47" s="117">
        <f>VLOOKUP($F$12,'Cummulative Sheet'!$B$13:$DK$23,98,0)</f>
        <v>3</v>
      </c>
      <c r="L47" s="47" t="s">
        <v>14</v>
      </c>
      <c r="M47" s="117">
        <f>VLOOKUP($F$12,'Cummulative Sheet'!$B$13:$DK$23,99,0)</f>
        <v>3.6054421768707483</v>
      </c>
      <c r="N47" s="63"/>
    </row>
    <row r="48" spans="1:14" ht="15" thickBot="1" x14ac:dyDescent="0.35">
      <c r="A48" s="94"/>
      <c r="B48" s="95"/>
      <c r="D48" s="22"/>
      <c r="N48" s="23"/>
    </row>
    <row r="49" spans="4:14" x14ac:dyDescent="0.3">
      <c r="D49" s="22"/>
      <c r="E49" s="121"/>
      <c r="F49" s="122" t="s">
        <v>187</v>
      </c>
      <c r="G49" s="121"/>
      <c r="H49" s="121"/>
      <c r="J49" s="121"/>
      <c r="K49" s="122" t="s">
        <v>191</v>
      </c>
      <c r="L49" s="121"/>
      <c r="M49" s="121"/>
      <c r="N49" s="85"/>
    </row>
    <row r="50" spans="4:14" x14ac:dyDescent="0.3">
      <c r="D50" s="22"/>
      <c r="E50" s="113" t="s">
        <v>94</v>
      </c>
      <c r="F50" s="113" t="s">
        <v>95</v>
      </c>
      <c r="G50" s="113" t="s">
        <v>16</v>
      </c>
      <c r="H50" s="113" t="s">
        <v>0</v>
      </c>
      <c r="J50" s="113" t="s">
        <v>94</v>
      </c>
      <c r="K50" s="113" t="s">
        <v>95</v>
      </c>
      <c r="L50" s="113" t="s">
        <v>16</v>
      </c>
      <c r="M50" s="113" t="s">
        <v>0</v>
      </c>
      <c r="N50" s="61"/>
    </row>
    <row r="51" spans="4:14" x14ac:dyDescent="0.3">
      <c r="D51" s="22"/>
      <c r="E51" s="114" t="s">
        <v>141</v>
      </c>
      <c r="F51" s="114" t="str">
        <f>'Cummulative Sheet'!AQ12</f>
        <v>Business Finance</v>
      </c>
      <c r="G51" s="115">
        <f>VLOOKUP($F$12,'Cummulative Sheet'!$B$13:$DK$23,42,0)</f>
        <v>85</v>
      </c>
      <c r="H51" s="115" t="str">
        <f>VLOOKUP($F$12,'Cummulative Sheet'!$B$13:$DK$23,43,0)</f>
        <v>A</v>
      </c>
      <c r="J51" s="114" t="s">
        <v>135</v>
      </c>
      <c r="K51" s="114" t="str">
        <f>'Cummulative Sheet'!CW12</f>
        <v>Business Policy</v>
      </c>
      <c r="L51" s="115">
        <f>VLOOKUP($F$12,'Cummulative Sheet'!$B$13:$DK$23,100,0)</f>
        <v>83</v>
      </c>
      <c r="M51" s="115" t="str">
        <f>VLOOKUP($F$12,'Cummulative Sheet'!$B$13:$DK$23,101,0)</f>
        <v>A</v>
      </c>
      <c r="N51" s="62"/>
    </row>
    <row r="52" spans="4:14" x14ac:dyDescent="0.3">
      <c r="D52" s="22"/>
      <c r="E52" s="114" t="s">
        <v>142</v>
      </c>
      <c r="F52" s="114" t="str">
        <f>'Cummulative Sheet'!AS12</f>
        <v>Management Information System</v>
      </c>
      <c r="G52" s="115">
        <f>VLOOKUP($F$12,'Cummulative Sheet'!$B$13:$DK$23,44,0)</f>
        <v>87</v>
      </c>
      <c r="H52" s="115" t="str">
        <f>VLOOKUP($F$12,'Cummulative Sheet'!$B$13:$DK$23,45,0)</f>
        <v>A</v>
      </c>
      <c r="J52" s="114" t="s">
        <v>136</v>
      </c>
      <c r="K52" s="114" t="str">
        <f>'Cummulative Sheet'!CY12</f>
        <v>International Business</v>
      </c>
      <c r="L52" s="115">
        <f>VLOOKUP($F$12,'Cummulative Sheet'!$B$13:$DK$23,102,0)</f>
        <v>90</v>
      </c>
      <c r="M52" s="115" t="str">
        <f>VLOOKUP($F$12,'Cummulative Sheet'!$B$13:$DK$23,103,0)</f>
        <v>A</v>
      </c>
      <c r="N52" s="62"/>
    </row>
    <row r="53" spans="4:14" x14ac:dyDescent="0.3">
      <c r="D53" s="22"/>
      <c r="E53" s="114" t="s">
        <v>143</v>
      </c>
      <c r="F53" s="114" t="str">
        <f>'Cummulative Sheet'!AU12</f>
        <v>Business Communication</v>
      </c>
      <c r="G53" s="115">
        <f>VLOOKUP($F$12,'Cummulative Sheet'!$B$13:$DK$23,46,0)</f>
        <v>86</v>
      </c>
      <c r="H53" s="115" t="str">
        <f>VLOOKUP($F$12,'Cummulative Sheet'!$B$13:$DK$23,47,0)</f>
        <v>A</v>
      </c>
      <c r="J53" s="114" t="s">
        <v>137</v>
      </c>
      <c r="K53" s="114" t="str">
        <f>'Cummulative Sheet'!DA12</f>
        <v>Critical Thinking and Logic</v>
      </c>
      <c r="L53" s="115">
        <f>VLOOKUP($F$12,'Cummulative Sheet'!$B$13:$DK$23,104,0)</f>
        <v>91</v>
      </c>
      <c r="M53" s="115" t="str">
        <f>VLOOKUP($F$12,'Cummulative Sheet'!$B$13:$DK$23,105,0)</f>
        <v>A</v>
      </c>
      <c r="N53" s="62"/>
    </row>
    <row r="54" spans="4:14" x14ac:dyDescent="0.3">
      <c r="D54" s="22"/>
      <c r="E54" s="114" t="s">
        <v>144</v>
      </c>
      <c r="F54" s="114" t="str">
        <f>'Cummulative Sheet'!AW12</f>
        <v>Statistical Inference</v>
      </c>
      <c r="G54" s="115">
        <f>VLOOKUP($F$12,'Cummulative Sheet'!$B$13:$DK$23,48,0)</f>
        <v>81</v>
      </c>
      <c r="H54" s="115" t="str">
        <f>VLOOKUP($F$12,'Cummulative Sheet'!$B$13:$DK$23,49,0)</f>
        <v>A</v>
      </c>
      <c r="J54" s="114" t="s">
        <v>138</v>
      </c>
      <c r="K54" s="114" t="str">
        <f>'Cummulative Sheet'!DC12</f>
        <v>Elective 2</v>
      </c>
      <c r="L54" s="115">
        <f>VLOOKUP($F$12,'Cummulative Sheet'!$B$13:$DK$23,106,0)</f>
        <v>86</v>
      </c>
      <c r="M54" s="115" t="str">
        <f>VLOOKUP($F$12,'Cummulative Sheet'!$B$13:$DK$23,107,0)</f>
        <v>A</v>
      </c>
      <c r="N54" s="62"/>
    </row>
    <row r="55" spans="4:14" x14ac:dyDescent="0.3">
      <c r="D55" s="22"/>
      <c r="E55" s="114" t="s">
        <v>145</v>
      </c>
      <c r="F55" s="114" t="str">
        <f>'Cummulative Sheet'!AY12</f>
        <v>Business Ethics</v>
      </c>
      <c r="G55" s="115">
        <f>VLOOKUP($F$12,'Cummulative Sheet'!$B$13:$DK$23,50,0)</f>
        <v>76</v>
      </c>
      <c r="H55" s="115" t="str">
        <f>VLOOKUP($F$12,'Cummulative Sheet'!$B$13:$DK$23,51,0)</f>
        <v>B</v>
      </c>
      <c r="J55" s="114" t="s">
        <v>139</v>
      </c>
      <c r="K55" s="114" t="str">
        <f>'Cummulative Sheet'!DE12</f>
        <v>Elective 3</v>
      </c>
      <c r="L55" s="115">
        <f>VLOOKUP($F$12,'Cummulative Sheet'!$B$13:$DK$23,108,0)</f>
        <v>78</v>
      </c>
      <c r="M55" s="115" t="str">
        <f>VLOOKUP($F$12,'Cummulative Sheet'!$B$13:$DK$23,109,0)</f>
        <v>B</v>
      </c>
      <c r="N55" s="62"/>
    </row>
    <row r="56" spans="4:14" x14ac:dyDescent="0.3">
      <c r="D56" s="22"/>
      <c r="E56" s="114" t="s">
        <v>146</v>
      </c>
      <c r="F56" s="114" t="str">
        <f>'Cummulative Sheet'!BA12</f>
        <v>Antropology</v>
      </c>
      <c r="G56" s="115">
        <f>VLOOKUP($F$12,'Cummulative Sheet'!$B$13:$DK$23,52,0)</f>
        <v>67</v>
      </c>
      <c r="H56" s="115" t="str">
        <f>VLOOKUP($F$12,'Cummulative Sheet'!$B$13:$DK$23,53,0)</f>
        <v>C</v>
      </c>
      <c r="J56" s="114" t="s">
        <v>140</v>
      </c>
      <c r="K56" s="114" t="str">
        <f>'Cummulative Sheet'!DG12</f>
        <v>Project UG</v>
      </c>
      <c r="L56" s="115">
        <f>VLOOKUP($F$12,'Cummulative Sheet'!$B$13:$DK$23,110,0)</f>
        <v>88</v>
      </c>
      <c r="M56" s="115" t="str">
        <f>VLOOKUP($F$12,'Cummulative Sheet'!$B$13:$DK$23,111,0)</f>
        <v>A</v>
      </c>
      <c r="N56" s="62"/>
    </row>
    <row r="57" spans="4:14" x14ac:dyDescent="0.3">
      <c r="D57" s="22"/>
      <c r="E57" s="47" t="s">
        <v>13</v>
      </c>
      <c r="F57" s="117">
        <f>VLOOKUP($F$12,'Cummulative Sheet'!$B$13:$DK$23,54,0)</f>
        <v>3.5</v>
      </c>
      <c r="G57" s="47" t="s">
        <v>14</v>
      </c>
      <c r="H57" s="117">
        <f>VLOOKUP($F$12,'Cummulative Sheet'!$B$13:$DK$23,55,0)</f>
        <v>3.7678571428571428</v>
      </c>
      <c r="J57" s="47" t="s">
        <v>13</v>
      </c>
      <c r="K57" s="117">
        <f>VLOOKUP($F$12,'Cummulative Sheet'!$B$13:$DK$23,112,0)</f>
        <v>3.8333333333333335</v>
      </c>
      <c r="L57" s="47" t="s">
        <v>14</v>
      </c>
      <c r="M57" s="117">
        <f>VLOOKUP($F$12,'Cummulative Sheet'!$B$13:$DK$23,113,0)</f>
        <v>3.6339285714285716</v>
      </c>
      <c r="N57" s="63"/>
    </row>
    <row r="58" spans="4:14" x14ac:dyDescent="0.3">
      <c r="D58" s="22"/>
      <c r="N58" s="23"/>
    </row>
    <row r="59" spans="4:14" x14ac:dyDescent="0.3">
      <c r="D59" s="22"/>
      <c r="E59" s="186" t="s">
        <v>161</v>
      </c>
      <c r="F59" s="186"/>
      <c r="G59">
        <v>120</v>
      </c>
      <c r="N59" s="23"/>
    </row>
    <row r="60" spans="4:14" x14ac:dyDescent="0.3">
      <c r="D60" s="22"/>
      <c r="E60" s="186" t="s">
        <v>162</v>
      </c>
      <c r="F60" s="186"/>
      <c r="G60">
        <f>VLOOKUP($F$12,'Cummulative Sheet'!$B$10:$DN$23,117,0)</f>
        <v>0</v>
      </c>
      <c r="J60" s="47" t="s">
        <v>165</v>
      </c>
      <c r="K60" t="s">
        <v>166</v>
      </c>
      <c r="N60" s="23"/>
    </row>
    <row r="61" spans="4:14" x14ac:dyDescent="0.3">
      <c r="D61" s="22"/>
      <c r="E61" s="185" t="s">
        <v>200</v>
      </c>
      <c r="F61" s="185"/>
      <c r="G61">
        <f>G59</f>
        <v>120</v>
      </c>
      <c r="N61" s="23"/>
    </row>
    <row r="62" spans="4:14" x14ac:dyDescent="0.3">
      <c r="D62" s="22"/>
      <c r="E62" s="184" t="str">
        <f>IF(G60&gt;0,"You Do not Qualify For BBA Degree","You Qualify For BBA Degree")</f>
        <v>You Qualify For BBA Degree</v>
      </c>
      <c r="F62" s="184"/>
      <c r="N62" s="23"/>
    </row>
    <row r="63" spans="4:14" x14ac:dyDescent="0.3">
      <c r="D63" s="22"/>
      <c r="J63" s="47" t="s">
        <v>167</v>
      </c>
      <c r="K63" s="86"/>
      <c r="M63" s="86"/>
      <c r="N63" s="23"/>
    </row>
    <row r="64" spans="4:14" x14ac:dyDescent="0.3">
      <c r="D64" s="22"/>
      <c r="E64" s="118" t="s">
        <v>163</v>
      </c>
      <c r="F64" s="119" t="s">
        <v>164</v>
      </c>
      <c r="K64" s="48" t="s">
        <v>169</v>
      </c>
      <c r="M64" s="52" t="s">
        <v>168</v>
      </c>
      <c r="N64" s="88"/>
    </row>
    <row r="65" spans="4:14" ht="11.25" customHeight="1" thickBot="1" x14ac:dyDescent="0.35">
      <c r="D65" s="58"/>
      <c r="E65" s="9"/>
      <c r="F65" s="9"/>
      <c r="G65" s="9"/>
      <c r="H65" s="9"/>
      <c r="I65" s="9"/>
      <c r="J65" s="9"/>
      <c r="K65" s="9"/>
      <c r="L65" s="9"/>
      <c r="M65" s="9"/>
      <c r="N65" s="87"/>
    </row>
  </sheetData>
  <mergeCells count="6">
    <mergeCell ref="F2:K4"/>
    <mergeCell ref="F5:K5"/>
    <mergeCell ref="E62:F62"/>
    <mergeCell ref="E61:F61"/>
    <mergeCell ref="E59:F59"/>
    <mergeCell ref="E60:F60"/>
  </mergeCells>
  <phoneticPr fontId="20" type="noConversion"/>
  <conditionalFormatting sqref="G60">
    <cfRule type="cellIs" dxfId="4" priority="3" operator="equal">
      <formula>0</formula>
    </cfRule>
    <cfRule type="cellIs" dxfId="3" priority="4" operator="greaterThan">
      <formula>0</formula>
    </cfRule>
    <cfRule type="cellIs" dxfId="2" priority="6" operator="greaterThan">
      <formula>0</formula>
    </cfRule>
    <cfRule type="expression" priority="7">
      <formula>"if+$K$60&gt;=1,$J$60=redcolor"</formula>
    </cfRule>
  </conditionalFormatting>
  <conditionalFormatting sqref="E62">
    <cfRule type="containsText" dxfId="1" priority="1" operator="containsText" text="You Do not Qualify For BBA Degree">
      <formula>NOT(ISERROR(SEARCH("You Do not Qualify For BBA Degree",E62)))</formula>
    </cfRule>
    <cfRule type="containsText" dxfId="0" priority="2" operator="containsText" text="You Qualify For BBA Degree">
      <formula>NOT(ISERROR(SEARCH("You Qualify For BBA Degree",E62)))</formula>
    </cfRule>
  </conditionalFormatting>
  <printOptions horizontalCentered="1" verticalCentered="1"/>
  <pageMargins left="0.25" right="0.25" top="0.75" bottom="0.75" header="0.3" footer="0.3"/>
  <pageSetup paperSize="9" scale="58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3">
                <anchor moveWithCells="1" sizeWithCells="1">
                  <from>
                    <xdr:col>0</xdr:col>
                    <xdr:colOff>22860</xdr:colOff>
                    <xdr:row>13</xdr:row>
                    <xdr:rowOff>99060</xdr:rowOff>
                  </from>
                  <to>
                    <xdr:col>1</xdr:col>
                    <xdr:colOff>289560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acro4">
                <anchor moveWithCells="1" sizeWithCells="1">
                  <from>
                    <xdr:col>0</xdr:col>
                    <xdr:colOff>22860</xdr:colOff>
                    <xdr:row>15</xdr:row>
                    <xdr:rowOff>114300</xdr:rowOff>
                  </from>
                  <to>
                    <xdr:col>1</xdr:col>
                    <xdr:colOff>289560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Macro5">
                <anchor moveWithCells="1" sizeWithCells="1">
                  <from>
                    <xdr:col>0</xdr:col>
                    <xdr:colOff>22860</xdr:colOff>
                    <xdr:row>17</xdr:row>
                    <xdr:rowOff>137160</xdr:rowOff>
                  </from>
                  <to>
                    <xdr:col>1</xdr:col>
                    <xdr:colOff>289560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Macro6">
                <anchor moveWithCells="1" sizeWithCells="1">
                  <from>
                    <xdr:col>0</xdr:col>
                    <xdr:colOff>22860</xdr:colOff>
                    <xdr:row>19</xdr:row>
                    <xdr:rowOff>167640</xdr:rowOff>
                  </from>
                  <to>
                    <xdr:col>1</xdr:col>
                    <xdr:colOff>289560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Macro7">
                <anchor moveWithCells="1" sizeWithCells="1">
                  <from>
                    <xdr:col>0</xdr:col>
                    <xdr:colOff>22860</xdr:colOff>
                    <xdr:row>21</xdr:row>
                    <xdr:rowOff>175260</xdr:rowOff>
                  </from>
                  <to>
                    <xdr:col>1</xdr:col>
                    <xdr:colOff>289560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Macro8">
                <anchor moveWithCells="1" sizeWithCells="1">
                  <from>
                    <xdr:col>0</xdr:col>
                    <xdr:colOff>22860</xdr:colOff>
                    <xdr:row>24</xdr:row>
                    <xdr:rowOff>15240</xdr:rowOff>
                  </from>
                  <to>
                    <xdr:col>1</xdr:col>
                    <xdr:colOff>289560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B">
                <anchor moveWithCells="1" sizeWithCells="1">
                  <from>
                    <xdr:col>0</xdr:col>
                    <xdr:colOff>22860</xdr:colOff>
                    <xdr:row>11</xdr:row>
                    <xdr:rowOff>60960</xdr:rowOff>
                  </from>
                  <to>
                    <xdr:col>1</xdr:col>
                    <xdr:colOff>289560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CopyMacro9">
                <anchor moveWithCells="1" sizeWithCells="1">
                  <from>
                    <xdr:col>0</xdr:col>
                    <xdr:colOff>0</xdr:colOff>
                    <xdr:row>26</xdr:row>
                    <xdr:rowOff>99060</xdr:rowOff>
                  </from>
                  <to>
                    <xdr:col>1</xdr:col>
                    <xdr:colOff>480060</xdr:colOff>
                    <xdr:row>29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A">
                <anchor moveWithCells="1" sizeWithCells="1">
                  <from>
                    <xdr:col>0</xdr:col>
                    <xdr:colOff>22860</xdr:colOff>
                    <xdr:row>9</xdr:row>
                    <xdr:rowOff>38100</xdr:rowOff>
                  </from>
                  <to>
                    <xdr:col>1</xdr:col>
                    <xdr:colOff>289560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MainMenu">
                <anchor moveWithCells="1" sizeWithCells="1">
                  <from>
                    <xdr:col>0</xdr:col>
                    <xdr:colOff>22860</xdr:colOff>
                    <xdr:row>5</xdr:row>
                    <xdr:rowOff>99060</xdr:rowOff>
                  </from>
                  <to>
                    <xdr:col>1</xdr:col>
                    <xdr:colOff>289560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4" name="Button 19">
              <controlPr defaultSize="0" print="0" autoFill="0" autoPict="0" macro="[0]!Print_Sheet">
                <anchor moveWithCells="1" sizeWithCells="1">
                  <from>
                    <xdr:col>0</xdr:col>
                    <xdr:colOff>22860</xdr:colOff>
                    <xdr:row>38</xdr:row>
                    <xdr:rowOff>91440</xdr:rowOff>
                  </from>
                  <to>
                    <xdr:col>1</xdr:col>
                    <xdr:colOff>289560</xdr:colOff>
                    <xdr:row>39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5" name="Button 20">
              <controlPr defaultSize="0" print="0" autoFill="0" autoPict="0" macro="[0]!SaveandContinue">
                <anchor moveWithCells="1" sizeWithCells="1">
                  <from>
                    <xdr:col>0</xdr:col>
                    <xdr:colOff>22860</xdr:colOff>
                    <xdr:row>30</xdr:row>
                    <xdr:rowOff>60960</xdr:rowOff>
                  </from>
                  <to>
                    <xdr:col>1</xdr:col>
                    <xdr:colOff>289560</xdr:colOff>
                    <xdr:row>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6" name="Button 21">
              <controlPr defaultSize="0" print="0" autoFill="0" autoPict="0" macro="[0]!Print_Preview">
                <anchor moveWithCells="1" sizeWithCells="1">
                  <from>
                    <xdr:col>0</xdr:col>
                    <xdr:colOff>22860</xdr:colOff>
                    <xdr:row>34</xdr:row>
                    <xdr:rowOff>22860</xdr:rowOff>
                  </from>
                  <to>
                    <xdr:col>1</xdr:col>
                    <xdr:colOff>289560</xdr:colOff>
                    <xdr:row>37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7" name="Button 24">
              <controlPr defaultSize="0" print="0" autoFill="0" autoPict="0" macro="[0]!AutomateSerialAndPrint">
                <anchor moveWithCells="1" sizeWithCells="1">
                  <from>
                    <xdr:col>0</xdr:col>
                    <xdr:colOff>22860</xdr:colOff>
                    <xdr:row>40</xdr:row>
                    <xdr:rowOff>137160</xdr:rowOff>
                  </from>
                  <to>
                    <xdr:col>1</xdr:col>
                    <xdr:colOff>289560</xdr:colOff>
                    <xdr:row>43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18" name="Button 26">
              <controlPr defaultSize="0" print="0" autoFill="0" autoPict="0" macro="[0]!Save_Quit">
                <anchor moveWithCells="1" sizeWithCells="1">
                  <from>
                    <xdr:col>0</xdr:col>
                    <xdr:colOff>22860</xdr:colOff>
                    <xdr:row>44</xdr:row>
                    <xdr:rowOff>38100</xdr:rowOff>
                  </from>
                  <to>
                    <xdr:col>1</xdr:col>
                    <xdr:colOff>289560</xdr:colOff>
                    <xdr:row>47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'Cummulative Sheet'!$B$14:$B$23</xm:f>
          </x14:formula1>
          <xm:sqref>F12 R11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Main Menu</vt:lpstr>
      <vt:lpstr>Semester 1</vt:lpstr>
      <vt:lpstr>Semester 2</vt:lpstr>
      <vt:lpstr>Semester 3</vt:lpstr>
      <vt:lpstr>Semester 4</vt:lpstr>
      <vt:lpstr>Semester 5</vt:lpstr>
      <vt:lpstr>Semester 6</vt:lpstr>
      <vt:lpstr>Semester 7</vt:lpstr>
      <vt:lpstr>Semester 8</vt:lpstr>
      <vt:lpstr>Cummulative Sheet</vt:lpstr>
      <vt:lpstr>Transcript</vt:lpstr>
      <vt:lpstr>Transcript!Print_Area</vt:lpstr>
      <vt:lpstr>SEMESTER_1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Usman</dc:creator>
  <cp:lastModifiedBy>Muhammad Usman</cp:lastModifiedBy>
  <cp:lastPrinted>2025-11-23T15:30:14Z</cp:lastPrinted>
  <dcterms:created xsi:type="dcterms:W3CDTF">2023-10-24T16:16:14Z</dcterms:created>
  <dcterms:modified xsi:type="dcterms:W3CDTF">2025-11-23T15:33:43Z</dcterms:modified>
</cp:coreProperties>
</file>