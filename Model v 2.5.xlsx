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d518972e8543096/Desktop/"/>
    </mc:Choice>
  </mc:AlternateContent>
  <xr:revisionPtr revIDLastSave="191" documentId="8_{0769AECF-51A6-4278-9542-F3C9EDDA8E81}" xr6:coauthVersionLast="47" xr6:coauthVersionMax="47" xr10:uidLastSave="{43D7B11A-C271-48C2-B68F-F10AC67698E0}"/>
  <bookViews>
    <workbookView xWindow="-108" yWindow="-108" windowWidth="23256" windowHeight="12456" activeTab="3" xr2:uid="{00000000-000D-0000-FFFF-FFFF00000000}"/>
  </bookViews>
  <sheets>
    <sheet name="IS" sheetId="33" r:id="rId1"/>
    <sheet name="BS" sheetId="35" r:id="rId2"/>
    <sheet name="CF" sheetId="37" r:id="rId3"/>
    <sheet name="MODEL" sheetId="1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124" l="1"/>
  <c r="E72" i="124"/>
  <c r="H96" i="124"/>
  <c r="I96" i="124"/>
  <c r="J96" i="124"/>
  <c r="K96" i="124"/>
  <c r="K98" i="124" s="1"/>
  <c r="H97" i="124"/>
  <c r="I97" i="124"/>
  <c r="J97" i="124"/>
  <c r="K97" i="124"/>
  <c r="H98" i="124"/>
  <c r="I98" i="124"/>
  <c r="J98" i="124"/>
  <c r="F89" i="124"/>
  <c r="G87" i="124"/>
  <c r="H87" i="124"/>
  <c r="I87" i="124"/>
  <c r="J87" i="124"/>
  <c r="K87" i="124"/>
  <c r="G86" i="124"/>
  <c r="H86" i="124"/>
  <c r="I86" i="124"/>
  <c r="J86" i="124"/>
  <c r="K86" i="124"/>
  <c r="H85" i="124"/>
  <c r="I85" i="124" s="1"/>
  <c r="J85" i="124" s="1"/>
  <c r="K85" i="124" s="1"/>
  <c r="G85" i="124"/>
  <c r="H84" i="124"/>
  <c r="I84" i="124" s="1"/>
  <c r="J84" i="124" s="1"/>
  <c r="K84" i="124" s="1"/>
  <c r="G84" i="124"/>
  <c r="H108" i="124"/>
  <c r="I108" i="124"/>
  <c r="J108" i="124"/>
  <c r="K108" i="124"/>
  <c r="G108" i="124"/>
  <c r="H106" i="124"/>
  <c r="I106" i="124"/>
  <c r="J106" i="124"/>
  <c r="K106" i="124"/>
  <c r="G106" i="124"/>
  <c r="H101" i="124"/>
  <c r="I101" i="124" s="1"/>
  <c r="J101" i="124" s="1"/>
  <c r="K101" i="124" s="1"/>
  <c r="I11" i="124" l="1"/>
  <c r="J11" i="124" s="1"/>
  <c r="K11" i="124" s="1"/>
  <c r="G7" i="124"/>
  <c r="H7" i="124" s="1"/>
  <c r="I7" i="124" s="1"/>
  <c r="J7" i="124" s="1"/>
  <c r="K7" i="124" s="1"/>
  <c r="F8" i="124"/>
  <c r="E8" i="124"/>
  <c r="G5" i="124"/>
  <c r="H5" i="124" s="1"/>
  <c r="E110" i="124"/>
  <c r="F110" i="124"/>
  <c r="D110" i="124"/>
  <c r="E108" i="124"/>
  <c r="F108" i="124"/>
  <c r="D108" i="124"/>
  <c r="D107" i="124"/>
  <c r="E107" i="124"/>
  <c r="F107" i="124"/>
  <c r="B107" i="124"/>
  <c r="D105" i="124"/>
  <c r="E105" i="124"/>
  <c r="F105" i="124"/>
  <c r="D106" i="124"/>
  <c r="E106" i="124"/>
  <c r="F106" i="124"/>
  <c r="B106" i="124"/>
  <c r="B105" i="124"/>
  <c r="E104" i="124"/>
  <c r="F104" i="124"/>
  <c r="D104" i="124"/>
  <c r="E101" i="124"/>
  <c r="F101" i="124"/>
  <c r="D101" i="124"/>
  <c r="E100" i="124"/>
  <c r="F100" i="124"/>
  <c r="D100" i="124"/>
  <c r="E97" i="124"/>
  <c r="F97" i="124"/>
  <c r="D97" i="124"/>
  <c r="E96" i="124"/>
  <c r="F96" i="124"/>
  <c r="D96" i="124"/>
  <c r="E94" i="124"/>
  <c r="F94" i="124"/>
  <c r="D94" i="124"/>
  <c r="F84" i="124"/>
  <c r="F85" i="124"/>
  <c r="E85" i="124"/>
  <c r="E84" i="124"/>
  <c r="F81" i="124"/>
  <c r="E81" i="124"/>
  <c r="E80" i="124"/>
  <c r="F80" i="124"/>
  <c r="B80" i="124"/>
  <c r="F79" i="124"/>
  <c r="F31" i="124" s="1"/>
  <c r="G31" i="124" s="1"/>
  <c r="E79" i="124"/>
  <c r="E31" i="124" s="1"/>
  <c r="F76" i="124"/>
  <c r="F77" i="124"/>
  <c r="F78" i="124"/>
  <c r="E76" i="124"/>
  <c r="E77" i="124"/>
  <c r="E78" i="124"/>
  <c r="B77" i="124"/>
  <c r="B78" i="124"/>
  <c r="B76" i="124"/>
  <c r="F72" i="124"/>
  <c r="E71" i="124"/>
  <c r="F71" i="124"/>
  <c r="B71" i="124"/>
  <c r="F69" i="124"/>
  <c r="F70" i="124"/>
  <c r="E70" i="124"/>
  <c r="E69" i="124"/>
  <c r="F67" i="124"/>
  <c r="F68" i="124"/>
  <c r="E68" i="124"/>
  <c r="E67" i="124"/>
  <c r="B62" i="124"/>
  <c r="E61" i="124"/>
  <c r="F61" i="124"/>
  <c r="D61" i="124"/>
  <c r="E55" i="124"/>
  <c r="F55" i="124"/>
  <c r="D55" i="124"/>
  <c r="E52" i="124"/>
  <c r="F52" i="124"/>
  <c r="G52" i="124" s="1"/>
  <c r="H52" i="124" s="1"/>
  <c r="I52" i="124" s="1"/>
  <c r="J52" i="124" s="1"/>
  <c r="K52" i="124" s="1"/>
  <c r="D52" i="124"/>
  <c r="E58" i="124"/>
  <c r="F58" i="124"/>
  <c r="D58" i="124"/>
  <c r="B58" i="124"/>
  <c r="B55" i="124"/>
  <c r="B52" i="124"/>
  <c r="D48" i="124"/>
  <c r="D51" i="124"/>
  <c r="E51" i="124"/>
  <c r="F51" i="124"/>
  <c r="G51" i="124" s="1"/>
  <c r="H51" i="124" s="1"/>
  <c r="I51" i="124" s="1"/>
  <c r="J51" i="124" s="1"/>
  <c r="K51" i="124" s="1"/>
  <c r="B51" i="124"/>
  <c r="E48" i="124"/>
  <c r="F48" i="124"/>
  <c r="E44" i="124"/>
  <c r="F44" i="124"/>
  <c r="E45" i="124"/>
  <c r="F45" i="124"/>
  <c r="D45" i="124"/>
  <c r="D44" i="124"/>
  <c r="B45" i="124"/>
  <c r="B44" i="124"/>
  <c r="B41" i="124"/>
  <c r="D41" i="124"/>
  <c r="D10" i="124" s="1"/>
  <c r="E41" i="124"/>
  <c r="E10" i="124" s="1"/>
  <c r="F41" i="124"/>
  <c r="F10" i="124" s="1"/>
  <c r="G10" i="124" s="1"/>
  <c r="D40" i="124"/>
  <c r="D3" i="124" s="1"/>
  <c r="E40" i="124"/>
  <c r="E3" i="124" s="1"/>
  <c r="F40" i="124"/>
  <c r="F3" i="124" s="1"/>
  <c r="B40" i="124"/>
  <c r="E1" i="124"/>
  <c r="F1" i="124" s="1"/>
  <c r="G1" i="124" s="1"/>
  <c r="H1" i="124" s="1"/>
  <c r="I1" i="124" s="1"/>
  <c r="J1" i="124" s="1"/>
  <c r="K1" i="124" s="1"/>
  <c r="D35" i="124" l="1"/>
  <c r="F35" i="124"/>
  <c r="F34" i="124"/>
  <c r="E34" i="124"/>
  <c r="D34" i="124"/>
  <c r="E102" i="124"/>
  <c r="F17" i="124"/>
  <c r="E17" i="124"/>
  <c r="H31" i="124"/>
  <c r="I31" i="124" s="1"/>
  <c r="J31" i="124" s="1"/>
  <c r="K31" i="124" s="1"/>
  <c r="F102" i="124"/>
  <c r="E25" i="124"/>
  <c r="E24" i="124"/>
  <c r="F19" i="124"/>
  <c r="F26" i="124" s="1"/>
  <c r="F24" i="124"/>
  <c r="E19" i="124"/>
  <c r="E26" i="124" s="1"/>
  <c r="F25" i="124"/>
  <c r="F21" i="124"/>
  <c r="E23" i="124"/>
  <c r="E21" i="124"/>
  <c r="E22" i="124"/>
  <c r="F23" i="124"/>
  <c r="F22" i="124"/>
  <c r="F12" i="124"/>
  <c r="E95" i="124"/>
  <c r="D95" i="124"/>
  <c r="F95" i="124"/>
  <c r="D13" i="124"/>
  <c r="F13" i="124"/>
  <c r="E13" i="124"/>
  <c r="E12" i="124"/>
  <c r="E4" i="124"/>
  <c r="E11" i="124"/>
  <c r="G41" i="124"/>
  <c r="H10" i="124"/>
  <c r="G3" i="124"/>
  <c r="F4" i="124"/>
  <c r="D12" i="124"/>
  <c r="F11" i="124"/>
  <c r="D109" i="124"/>
  <c r="F109" i="124"/>
  <c r="E86" i="124"/>
  <c r="F42" i="124"/>
  <c r="F46" i="124" s="1"/>
  <c r="F49" i="124" s="1"/>
  <c r="F86" i="124"/>
  <c r="F82" i="124"/>
  <c r="F73" i="124"/>
  <c r="E109" i="124"/>
  <c r="D102" i="124"/>
  <c r="E73" i="124"/>
  <c r="E82" i="124"/>
  <c r="E42" i="124"/>
  <c r="E46" i="124" s="1"/>
  <c r="E49" i="124" s="1"/>
  <c r="D42" i="124"/>
  <c r="D46" i="124" s="1"/>
  <c r="D49" i="124" s="1"/>
  <c r="D53" i="124" s="1"/>
  <c r="D56" i="124" s="1"/>
  <c r="E35" i="124" l="1"/>
  <c r="G35" i="124"/>
  <c r="H35" i="124" s="1"/>
  <c r="G34" i="124"/>
  <c r="H34" i="124" s="1"/>
  <c r="I34" i="124" s="1"/>
  <c r="J34" i="124" s="1"/>
  <c r="K34" i="124" s="1"/>
  <c r="G17" i="124"/>
  <c r="H17" i="124" s="1"/>
  <c r="I17" i="124" s="1"/>
  <c r="J17" i="124" s="1"/>
  <c r="K17" i="124" s="1"/>
  <c r="G79" i="124" a="1"/>
  <c r="G26" i="124"/>
  <c r="H26" i="124" s="1"/>
  <c r="G24" i="124"/>
  <c r="H24" i="124" s="1"/>
  <c r="F29" i="124"/>
  <c r="F30" i="124"/>
  <c r="E28" i="124"/>
  <c r="D30" i="124"/>
  <c r="E30" i="124"/>
  <c r="D29" i="124"/>
  <c r="D28" i="124"/>
  <c r="F28" i="124"/>
  <c r="E29" i="124"/>
  <c r="G25" i="124"/>
  <c r="G22" i="124"/>
  <c r="G21" i="124"/>
  <c r="G23" i="124"/>
  <c r="G13" i="124"/>
  <c r="G45" i="124" s="1"/>
  <c r="F20" i="124"/>
  <c r="E20" i="124"/>
  <c r="F53" i="124"/>
  <c r="F56" i="124" s="1"/>
  <c r="F15" i="124" s="1"/>
  <c r="D15" i="124"/>
  <c r="E53" i="124"/>
  <c r="E56" i="124" s="1"/>
  <c r="E15" i="124" s="1"/>
  <c r="G12" i="124"/>
  <c r="H12" i="124" s="1"/>
  <c r="F14" i="124"/>
  <c r="D14" i="124"/>
  <c r="E14" i="124"/>
  <c r="G40" i="124"/>
  <c r="G42" i="124" s="1"/>
  <c r="G110" i="124" s="1"/>
  <c r="H3" i="124"/>
  <c r="I10" i="124"/>
  <c r="H41" i="124"/>
  <c r="E87" i="124"/>
  <c r="E89" i="124" s="1"/>
  <c r="F87" i="124"/>
  <c r="I35" i="124" l="1"/>
  <c r="J35" i="124" s="1"/>
  <c r="K35" i="124" s="1"/>
  <c r="G79" i="124"/>
  <c r="H104" i="124" s="1"/>
  <c r="K104" i="124"/>
  <c r="J104" i="124"/>
  <c r="I104" i="124"/>
  <c r="I55" i="124"/>
  <c r="J55" i="124"/>
  <c r="H55" i="124"/>
  <c r="K55" i="124"/>
  <c r="H21" i="124"/>
  <c r="G30" i="124"/>
  <c r="H30" i="124" s="1"/>
  <c r="I30" i="124" s="1"/>
  <c r="J30" i="124" s="1"/>
  <c r="K30" i="124" s="1"/>
  <c r="H23" i="124"/>
  <c r="H25" i="124"/>
  <c r="I24" i="124"/>
  <c r="G20" i="124"/>
  <c r="H22" i="124"/>
  <c r="G28" i="124"/>
  <c r="G29" i="124"/>
  <c r="I26" i="124"/>
  <c r="H13" i="124"/>
  <c r="I13" i="124" s="1"/>
  <c r="D59" i="124"/>
  <c r="G44" i="124"/>
  <c r="E59" i="124"/>
  <c r="E32" i="124" s="1"/>
  <c r="G15" i="124"/>
  <c r="H15" i="124" s="1"/>
  <c r="I15" i="124" s="1"/>
  <c r="J15" i="124" s="1"/>
  <c r="K15" i="124" s="1"/>
  <c r="F59" i="124"/>
  <c r="F32" i="124" s="1"/>
  <c r="I12" i="124"/>
  <c r="G14" i="124"/>
  <c r="I3" i="124"/>
  <c r="H40" i="124"/>
  <c r="H42" i="124" s="1"/>
  <c r="H110" i="124" s="1"/>
  <c r="J10" i="124"/>
  <c r="I41" i="124"/>
  <c r="D62" i="124" l="1"/>
  <c r="D93" i="124" s="1"/>
  <c r="D98" i="124" s="1"/>
  <c r="D111" i="124" s="1"/>
  <c r="D32" i="124"/>
  <c r="G32" i="124" s="1"/>
  <c r="H32" i="124" s="1"/>
  <c r="I32" i="124" s="1"/>
  <c r="G104" i="124"/>
  <c r="G55" i="124"/>
  <c r="G97" i="124"/>
  <c r="G72" i="124" s="1"/>
  <c r="H72" i="124" s="1"/>
  <c r="J26" i="124"/>
  <c r="I25" i="124"/>
  <c r="H29" i="124"/>
  <c r="G100" i="124"/>
  <c r="G102" i="124" s="1"/>
  <c r="H28" i="124"/>
  <c r="G94" i="124"/>
  <c r="I23" i="124"/>
  <c r="G46" i="124"/>
  <c r="G69" i="124"/>
  <c r="I22" i="124"/>
  <c r="J24" i="124"/>
  <c r="H20" i="124"/>
  <c r="G68" i="124"/>
  <c r="G76" i="124"/>
  <c r="I21" i="124"/>
  <c r="H45" i="124"/>
  <c r="D16" i="124"/>
  <c r="F62" i="124"/>
  <c r="F93" i="124" s="1"/>
  <c r="F16" i="124"/>
  <c r="E62" i="124"/>
  <c r="E93" i="124" s="1"/>
  <c r="E98" i="124" s="1"/>
  <c r="E111" i="124" s="1"/>
  <c r="E16" i="124"/>
  <c r="H44" i="124"/>
  <c r="J12" i="124"/>
  <c r="J13" i="124"/>
  <c r="I45" i="124"/>
  <c r="H14" i="124"/>
  <c r="G48" i="124"/>
  <c r="G19" i="124" s="1"/>
  <c r="K10" i="124"/>
  <c r="K41" i="124" s="1"/>
  <c r="J41" i="124"/>
  <c r="J3" i="124"/>
  <c r="I40" i="124"/>
  <c r="I42" i="124" s="1"/>
  <c r="I72" i="124" l="1"/>
  <c r="I110" i="124"/>
  <c r="J32" i="124"/>
  <c r="K32" i="124" s="1"/>
  <c r="F98" i="124"/>
  <c r="F111" i="124" s="1"/>
  <c r="H76" i="124"/>
  <c r="I28" i="124"/>
  <c r="H94" i="124"/>
  <c r="J21" i="124"/>
  <c r="G81" i="124"/>
  <c r="G78" i="124"/>
  <c r="G77" i="124"/>
  <c r="G82" i="124" s="1"/>
  <c r="K24" i="124"/>
  <c r="G70" i="124"/>
  <c r="H69" i="124"/>
  <c r="I29" i="124"/>
  <c r="H100" i="124"/>
  <c r="H102" i="124" s="1"/>
  <c r="J25" i="124"/>
  <c r="J22" i="124"/>
  <c r="G49" i="124"/>
  <c r="G53" i="124" s="1"/>
  <c r="G56" i="124" s="1"/>
  <c r="G58" i="124" s="1"/>
  <c r="G59" i="124" s="1"/>
  <c r="G105" i="124" s="1"/>
  <c r="G71" i="124"/>
  <c r="G80" i="124" s="1"/>
  <c r="I20" i="124"/>
  <c r="H68" i="124"/>
  <c r="J23" i="124"/>
  <c r="K26" i="124"/>
  <c r="H46" i="124"/>
  <c r="G16" i="124"/>
  <c r="H16" i="124" s="1"/>
  <c r="I16" i="124" s="1"/>
  <c r="J16" i="124" s="1"/>
  <c r="K16" i="124" s="1"/>
  <c r="I14" i="124"/>
  <c r="H48" i="124"/>
  <c r="H71" i="124" s="1"/>
  <c r="K13" i="124"/>
  <c r="K45" i="124" s="1"/>
  <c r="J45" i="124"/>
  <c r="I44" i="124"/>
  <c r="I76" i="124" s="1"/>
  <c r="K12" i="124"/>
  <c r="K3" i="124"/>
  <c r="K40" i="124" s="1"/>
  <c r="K42" i="124" s="1"/>
  <c r="J40" i="124"/>
  <c r="J42" i="124" s="1"/>
  <c r="K110" i="124" l="1"/>
  <c r="J72" i="124"/>
  <c r="K72" i="124" s="1"/>
  <c r="J110" i="124"/>
  <c r="H80" i="124"/>
  <c r="J20" i="124"/>
  <c r="I68" i="124"/>
  <c r="J29" i="124"/>
  <c r="I100" i="124"/>
  <c r="I102" i="124" s="1"/>
  <c r="H19" i="124"/>
  <c r="I46" i="124"/>
  <c r="I69" i="124"/>
  <c r="H70" i="124"/>
  <c r="K21" i="124"/>
  <c r="K22" i="124"/>
  <c r="J28" i="124"/>
  <c r="I94" i="124"/>
  <c r="K23" i="124"/>
  <c r="K25" i="124"/>
  <c r="G61" i="124"/>
  <c r="G107" i="124" s="1"/>
  <c r="G109" i="124" s="1"/>
  <c r="H49" i="124"/>
  <c r="H53" i="124" s="1"/>
  <c r="H56" i="124" s="1"/>
  <c r="H58" i="124" s="1"/>
  <c r="H59" i="124" s="1"/>
  <c r="J14" i="124"/>
  <c r="I48" i="124"/>
  <c r="I19" i="124" s="1"/>
  <c r="J44" i="124"/>
  <c r="J76" i="124" s="1"/>
  <c r="K44" i="124"/>
  <c r="H61" i="124" l="1"/>
  <c r="H107" i="124" s="1"/>
  <c r="H105" i="124"/>
  <c r="H109" i="124" s="1"/>
  <c r="H81" i="124"/>
  <c r="H78" i="124"/>
  <c r="H77" i="124"/>
  <c r="H82" i="124" s="1"/>
  <c r="I49" i="124"/>
  <c r="I53" i="124" s="1"/>
  <c r="I56" i="124" s="1"/>
  <c r="I58" i="124" s="1"/>
  <c r="I59" i="124" s="1"/>
  <c r="I71" i="124"/>
  <c r="I80" i="124" s="1"/>
  <c r="K29" i="124"/>
  <c r="K100" i="124" s="1"/>
  <c r="K102" i="124" s="1"/>
  <c r="J100" i="124"/>
  <c r="J102" i="124" s="1"/>
  <c r="I81" i="124"/>
  <c r="I78" i="124"/>
  <c r="I77" i="124"/>
  <c r="I82" i="124" s="1"/>
  <c r="K46" i="124"/>
  <c r="J46" i="124"/>
  <c r="J69" i="124"/>
  <c r="K28" i="124"/>
  <c r="K94" i="124" s="1"/>
  <c r="J94" i="124"/>
  <c r="K76" i="124"/>
  <c r="K69" i="124"/>
  <c r="I70" i="124"/>
  <c r="K20" i="124"/>
  <c r="K68" i="124" s="1"/>
  <c r="J68" i="124"/>
  <c r="G62" i="124"/>
  <c r="G93" i="124" s="1"/>
  <c r="G95" i="124"/>
  <c r="K14" i="124"/>
  <c r="K48" i="124" s="1"/>
  <c r="K71" i="124" s="1"/>
  <c r="J48" i="124"/>
  <c r="H62" i="124" l="1"/>
  <c r="H93" i="124" s="1"/>
  <c r="H95" i="124"/>
  <c r="I61" i="124"/>
  <c r="I62" i="124" s="1"/>
  <c r="I93" i="124" s="1"/>
  <c r="I105" i="124"/>
  <c r="G98" i="124"/>
  <c r="G111" i="124" s="1"/>
  <c r="G67" i="124" s="1"/>
  <c r="K19" i="124"/>
  <c r="K81" i="124" s="1"/>
  <c r="J70" i="124"/>
  <c r="K70" i="124" s="1"/>
  <c r="J49" i="124"/>
  <c r="J53" i="124" s="1"/>
  <c r="J56" i="124" s="1"/>
  <c r="J58" i="124" s="1"/>
  <c r="J59" i="124" s="1"/>
  <c r="J71" i="124"/>
  <c r="J80" i="124" s="1"/>
  <c r="K80" i="124" s="1"/>
  <c r="K49" i="124"/>
  <c r="K53" i="124" s="1"/>
  <c r="K56" i="124" s="1"/>
  <c r="K58" i="124" s="1"/>
  <c r="K59" i="124" s="1"/>
  <c r="J19" i="124"/>
  <c r="G73" i="124" l="1"/>
  <c r="G89" i="124" s="1"/>
  <c r="I109" i="124"/>
  <c r="H111" i="124"/>
  <c r="H67" i="124" s="1"/>
  <c r="K61" i="124"/>
  <c r="K105" i="124"/>
  <c r="J61" i="124"/>
  <c r="J105" i="124"/>
  <c r="I95" i="124"/>
  <c r="I107" i="124"/>
  <c r="K77" i="124"/>
  <c r="K78" i="124"/>
  <c r="J81" i="124"/>
  <c r="J77" i="124"/>
  <c r="J78" i="124"/>
  <c r="H73" i="124" l="1"/>
  <c r="H89" i="124" s="1"/>
  <c r="J82" i="124"/>
  <c r="K82" i="124"/>
  <c r="I111" i="124"/>
  <c r="I67" i="124" s="1"/>
  <c r="J95" i="124"/>
  <c r="J107" i="124"/>
  <c r="J109" i="124" s="1"/>
  <c r="J111" i="124" s="1"/>
  <c r="J62" i="124"/>
  <c r="J93" i="124" s="1"/>
  <c r="K95" i="124"/>
  <c r="K107" i="124"/>
  <c r="K109" i="124" s="1"/>
  <c r="K62" i="124"/>
  <c r="K93" i="124" s="1"/>
  <c r="K111" i="124" l="1"/>
  <c r="J67" i="124"/>
  <c r="I73" i="124"/>
  <c r="I89" i="124" s="1"/>
  <c r="K67" i="124" l="1"/>
  <c r="K73" i="124" s="1"/>
  <c r="K89" i="124" s="1"/>
  <c r="J73" i="124"/>
  <c r="J89" i="1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<sst xmlns="http://schemas.openxmlformats.org/spreadsheetml/2006/main" count="216" uniqueCount="181">
  <si>
    <t>(dollars in millions)</t>
  </si>
  <si>
    <t>2021</t>
  </si>
  <si>
    <t>2020</t>
  </si>
  <si>
    <t>2019</t>
  </si>
  <si>
    <t>Research and development</t>
  </si>
  <si>
    <t>Selling, general and administrative</t>
  </si>
  <si>
    <t>(dollars in millions, except per share amounts)</t>
  </si>
  <si>
    <t>—</t>
  </si>
  <si>
    <t>Operating profit</t>
  </si>
  <si>
    <t>Cash and cash equivalents</t>
  </si>
  <si>
    <t>Net cash flows provided by operating activities</t>
  </si>
  <si>
    <t>Investing Activities:</t>
  </si>
  <si>
    <t>Capital expenditures</t>
  </si>
  <si>
    <t>Proceeds from sale of (investments in) equity securities</t>
  </si>
  <si>
    <t>Receipts (payments) on settlements of derivative contracts</t>
  </si>
  <si>
    <t>Other investing activities, net</t>
  </si>
  <si>
    <t>Net cash flows used in investing activities</t>
  </si>
  <si>
    <t>Net cash flows provided by (used in) financing activities</t>
  </si>
  <si>
    <t>Financing Activities:</t>
  </si>
  <si>
    <t>Proceeds from issuance of long-term debt</t>
  </si>
  <si>
    <t>Payment of debt issuance costs</t>
  </si>
  <si>
    <t>Repayment of long-term debt</t>
  </si>
  <si>
    <t>Dividends paid on Common Stock</t>
  </si>
  <si>
    <t>Repurchases of Common Stock</t>
  </si>
  <si>
    <t>Dividends paid to noncontrolling interest</t>
  </si>
  <si>
    <t>Net transfers to UTC</t>
  </si>
  <si>
    <t>Other financing activities, net</t>
  </si>
  <si>
    <t>Other long-term liabilities</t>
  </si>
  <si>
    <t>CONSOLIDATED STATEMENTS OF OPERATIONS</t>
  </si>
  <si>
    <t>Net sales:</t>
  </si>
  <si>
    <t>Product sales</t>
  </si>
  <si>
    <t>Service sales</t>
  </si>
  <si>
    <t>Costs and expenses:</t>
  </si>
  <si>
    <t>Cost of products sold</t>
  </si>
  <si>
    <t>Cost of services sold</t>
  </si>
  <si>
    <t>Other income (expense), net</t>
  </si>
  <si>
    <t>Net income before income taxes</t>
  </si>
  <si>
    <t>Income tax expense</t>
  </si>
  <si>
    <t>Net income</t>
  </si>
  <si>
    <t>Less: Noncontrolling interest in subsidiaries' earnings</t>
  </si>
  <si>
    <t>Earnings per share (Note 3):</t>
  </si>
  <si>
    <t>Basic</t>
  </si>
  <si>
    <t>Diluted</t>
  </si>
  <si>
    <t>Weighted average number of shares outstanding</t>
  </si>
  <si>
    <t>Basic shares</t>
  </si>
  <si>
    <t>Diluted shares</t>
  </si>
  <si>
    <t>CONSOLIDATED BALANCE SHEETS</t>
  </si>
  <si>
    <t>Assets</t>
  </si>
  <si>
    <t>Restricted cash</t>
  </si>
  <si>
    <t>Accounts receivable (net of allowance for expected credit losses of $175 and $161)</t>
  </si>
  <si>
    <t>Contract assets</t>
  </si>
  <si>
    <t>Inventories, net</t>
  </si>
  <si>
    <t>Other current assets</t>
  </si>
  <si>
    <t>Total Current Assets</t>
  </si>
  <si>
    <t>Future income tax benefits</t>
  </si>
  <si>
    <t>Fixed assets, net</t>
  </si>
  <si>
    <t>Operating lease right-of-use assets</t>
  </si>
  <si>
    <t>Intangible assets, net</t>
  </si>
  <si>
    <t>Goodwill</t>
  </si>
  <si>
    <t>Other assets</t>
  </si>
  <si>
    <t>Total Assets</t>
  </si>
  <si>
    <t>Liabilities and (Deficit) Equity</t>
  </si>
  <si>
    <t>Short-term borrowings</t>
  </si>
  <si>
    <t>Accounts payable</t>
  </si>
  <si>
    <t>Accrued liabilities</t>
  </si>
  <si>
    <t>Contract liabilities</t>
  </si>
  <si>
    <t>Total Current Liabilities</t>
  </si>
  <si>
    <t>Long-term debt</t>
  </si>
  <si>
    <t>Future pension and postretirement benefit obligations</t>
  </si>
  <si>
    <t>Operating lease liabilities</t>
  </si>
  <si>
    <t>Future income tax obligations</t>
  </si>
  <si>
    <t>Total Liabilities</t>
  </si>
  <si>
    <t>Commitments and contingent liabilities (Note 22)</t>
  </si>
  <si>
    <t>Redeemable noncontrolling interest</t>
  </si>
  <si>
    <t>Shareholders' (Deficit) Equity:</t>
  </si>
  <si>
    <t>Common Stock and additional paid-in-capital</t>
  </si>
  <si>
    <t>Treasury Stock</t>
  </si>
  <si>
    <t>Accumulated deficit</t>
  </si>
  <si>
    <t>Accumulated other comprehensive income (loss)</t>
  </si>
  <si>
    <t>Total Shareholders' (Deficit) Equity</t>
  </si>
  <si>
    <t>Noncontrolling interest</t>
  </si>
  <si>
    <t>Total (Deficit) Equity</t>
  </si>
  <si>
    <t>Total Liabilities and (Deficit) Equity</t>
  </si>
  <si>
    <t>CONSOLIDATED STATEMENTS OF CASH FLOWS</t>
  </si>
  <si>
    <t>Operating Activities:</t>
  </si>
  <si>
    <t>Adjustments to reconcile net income to net cash flows provided by operating activities, net of acquisitions:</t>
  </si>
  <si>
    <t>Depreciation and amortization</t>
  </si>
  <si>
    <t>Deferred income tax expense (benefit)</t>
  </si>
  <si>
    <t>Stock compensation cost</t>
  </si>
  <si>
    <t>Losses on fixed asset impairment or disposal of business</t>
  </si>
  <si>
    <t>Change in:</t>
  </si>
  <si>
    <t>Accounts receivable, net</t>
  </si>
  <si>
    <t>Contract assets and liabilities, current</t>
  </si>
  <si>
    <t>Pension contributions</t>
  </si>
  <si>
    <t>Other operating activities, net</t>
  </si>
  <si>
    <t>Investments in businesses and intangible assets, net of cash acquired (Note 9)</t>
  </si>
  <si>
    <t>Net proceeds from (repayments of) borrowings (maturities of 90 days or less)</t>
  </si>
  <si>
    <t>Proceeds from borrowings (maturities longer than 90 days)</t>
  </si>
  <si>
    <t>Repayments of borrowings (maturities longer than 90 days)</t>
  </si>
  <si>
    <t>Effect of foreign exchange rate changes on cash and cash equivalents</t>
  </si>
  <si>
    <t>Net increase in cash and cash equivalents</t>
  </si>
  <si>
    <t>Cash, cash equivalents and restricted cash, beginning of year</t>
  </si>
  <si>
    <t>Cash, cash equivalents and restricted cash, end of year</t>
  </si>
  <si>
    <t>Less: Restricted cash</t>
  </si>
  <si>
    <t>Cash and cash equivalents, end of period</t>
  </si>
  <si>
    <t>Supplemental cash flow information:</t>
  </si>
  <si>
    <t>Interest paid (including related party interest of $0, $0 and $18)</t>
  </si>
  <si>
    <t>Income taxes paid, net of (refunds) (including related party of $0, $(15) and $255)</t>
  </si>
  <si>
    <t>Income Statement</t>
  </si>
  <si>
    <t xml:space="preserve">Otis </t>
  </si>
  <si>
    <t>Total Revenue</t>
  </si>
  <si>
    <t>Gross Profit</t>
  </si>
  <si>
    <t>S&amp;GA R&amp;D</t>
  </si>
  <si>
    <t xml:space="preserve">Operating Profit </t>
  </si>
  <si>
    <t>EBT</t>
  </si>
  <si>
    <t>Net Income</t>
  </si>
  <si>
    <t>Non-service pension benefit (Cost)</t>
  </si>
  <si>
    <t>Interest  income (expense), net</t>
  </si>
  <si>
    <t>NCI</t>
  </si>
  <si>
    <t>Net income attributable to Otis</t>
  </si>
  <si>
    <t>Balance Sheet</t>
  </si>
  <si>
    <t xml:space="preserve">Assets  </t>
  </si>
  <si>
    <t>Cash</t>
  </si>
  <si>
    <t>Account Receivable</t>
  </si>
  <si>
    <t>Inventory and Other Assets</t>
  </si>
  <si>
    <t>PP&amp;E and Int Assets</t>
  </si>
  <si>
    <t>Other Assets</t>
  </si>
  <si>
    <t xml:space="preserve">Total Assets </t>
  </si>
  <si>
    <t xml:space="preserve">Liabilites </t>
  </si>
  <si>
    <t>Debt</t>
  </si>
  <si>
    <t xml:space="preserve">Other Liabilities </t>
  </si>
  <si>
    <t xml:space="preserve">Total Liabilites </t>
  </si>
  <si>
    <t>Shareholders Equity (Debt)</t>
  </si>
  <si>
    <t xml:space="preserve">Total Equity </t>
  </si>
  <si>
    <t xml:space="preserve">Total Liabilities &amp; Equity  </t>
  </si>
  <si>
    <t>Check</t>
  </si>
  <si>
    <t>Cash Flow</t>
  </si>
  <si>
    <t>(+) Dep</t>
  </si>
  <si>
    <t>(+) NCI</t>
  </si>
  <si>
    <t>(+/-) Changes in Working Capital</t>
  </si>
  <si>
    <t xml:space="preserve">(+/-) Other Operating Activites </t>
  </si>
  <si>
    <t xml:space="preserve">Cash Flow From Operating Activites </t>
  </si>
  <si>
    <t>Capex</t>
  </si>
  <si>
    <t>Other Investing Activites</t>
  </si>
  <si>
    <t xml:space="preserve">Cash Flow From Investing Activites </t>
  </si>
  <si>
    <t xml:space="preserve">Other Financing activites </t>
  </si>
  <si>
    <t xml:space="preserve">Cash Flow From Financing Activites </t>
  </si>
  <si>
    <t>Net Cash Flow</t>
  </si>
  <si>
    <t>Forex effect</t>
  </si>
  <si>
    <t>Product Market Share</t>
  </si>
  <si>
    <t xml:space="preserve">Market Size </t>
  </si>
  <si>
    <t>Market Growth Rate</t>
  </si>
  <si>
    <t>Service units</t>
  </si>
  <si>
    <t xml:space="preserve">Revenue Units </t>
  </si>
  <si>
    <t xml:space="preserve">COPS as % of Product sales </t>
  </si>
  <si>
    <t>COSS as % of Services sales</t>
  </si>
  <si>
    <t>S&amp;GA R&amp;D as % of total revenue</t>
  </si>
  <si>
    <t>EBIT</t>
  </si>
  <si>
    <t>tax as % EBT</t>
  </si>
  <si>
    <t>NCI as % of NI</t>
  </si>
  <si>
    <t>Account Receivable as % Revenue</t>
  </si>
  <si>
    <t>Accounts payable as % Cog</t>
  </si>
  <si>
    <t>Accrued liabilities as % Total Expenses</t>
  </si>
  <si>
    <t>Contract liabilities as % of Total Expenses</t>
  </si>
  <si>
    <t>Inventory and Other Assets as % of COG</t>
  </si>
  <si>
    <t>Operating lease right-of-use assets as % Opex</t>
  </si>
  <si>
    <t>Other Liabilities  as % Total Expenses</t>
  </si>
  <si>
    <t>Total Expenses</t>
  </si>
  <si>
    <t>Depriciation as % total revenue</t>
  </si>
  <si>
    <t>NCI Equity</t>
  </si>
  <si>
    <t>Capex as % of total revenue</t>
  </si>
  <si>
    <t>A</t>
  </si>
  <si>
    <t>B</t>
  </si>
  <si>
    <t>Other Operating Activities As % of Rev</t>
  </si>
  <si>
    <t>Debt as Flat</t>
  </si>
  <si>
    <t>Interest As % of Debt</t>
  </si>
  <si>
    <t>Dividends on CS As % of NI</t>
  </si>
  <si>
    <t>Dividends NCI as % of NCI Income</t>
  </si>
  <si>
    <t>No Repurchases of Common Stock</t>
  </si>
  <si>
    <t>Forex as % of Revenue</t>
  </si>
  <si>
    <t>Other Financing Activities As % of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</si>
</sst>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\$* #,##0_);_(\$* \(#,##0\);_(\$* \-_);_(@_)"/>
    <numFmt numFmtId="165" formatCode="_(\$* #,##0.00_);_(\$* \(#,##0.00\);_(\$* \-??_);_(@_)"/>
    <numFmt numFmtId="166" formatCode="\(#,##0_);[Red]\(#,##0\)"/>
    <numFmt numFmtId="167" formatCode="&quot;FY-&quot;0"/>
    <numFmt numFmtId="168" formatCode="#,##0;\(#,##0\);\-"/>
    <numFmt numFmtId="169" formatCode="0.0%"/>
    <numFmt numFmtId="170" formatCode="0.000%"/>
    <numFmt numFmtId="171" formatCode="_(* #,##0_);_(* \(#,##0\);_(* &quot;-&quot;??_);_(@_)"/>
  </numFmts>
  <fonts count="12" x14ac:knownFonts="1"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i/>
      <sz val="11"/>
      <color indexed="8"/>
      <name val="Calibri"/>
      <family val="2"/>
      <charset val="1"/>
    </font>
    <font>
      <i/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indexed="8"/>
      <name val="Bahnschrift SemiLight Condensed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rgb="FF0000FF"/>
      <name val="Calibri"/>
      <family val="2"/>
      <charset val="1"/>
    </font>
    <font>
      <sz val="12"/>
      <color indexed="8"/>
      <name val="Calibri"/>
      <family val="2"/>
      <charset val="1"/>
    </font>
    <font>
      <sz val="11"/>
      <color indexed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165" fontId="0" fillId="0" borderId="0" xfId="0" applyNumberFormat="1"/>
    <xf numFmtId="4" fontId="0" fillId="0" borderId="0" xfId="0" applyNumberFormat="1"/>
    <xf numFmtId="0" fontId="2" fillId="0" borderId="0" xfId="0" applyFont="1"/>
    <xf numFmtId="166" fontId="1" fillId="0" borderId="0" xfId="0" applyNumberFormat="1" applyFont="1"/>
    <xf numFmtId="0" fontId="3" fillId="0" borderId="0" xfId="0" applyFont="1"/>
    <xf numFmtId="0" fontId="0" fillId="2" borderId="0" xfId="0" applyFill="1"/>
    <xf numFmtId="168" fontId="0" fillId="0" borderId="0" xfId="0" applyNumberFormat="1"/>
    <xf numFmtId="0" fontId="4" fillId="0" borderId="1" xfId="0" applyFont="1" applyBorder="1"/>
    <xf numFmtId="168" fontId="4" fillId="0" borderId="1" xfId="0" applyNumberFormat="1" applyFont="1" applyBorder="1"/>
    <xf numFmtId="0" fontId="4" fillId="2" borderId="0" xfId="0" applyFont="1" applyFill="1"/>
    <xf numFmtId="0" fontId="5" fillId="2" borderId="0" xfId="0" applyFont="1" applyFill="1"/>
    <xf numFmtId="167" fontId="5" fillId="2" borderId="0" xfId="0" applyNumberFormat="1" applyFont="1" applyFill="1"/>
    <xf numFmtId="0" fontId="4" fillId="0" borderId="0" xfId="0" applyFont="1"/>
    <xf numFmtId="0" fontId="0" fillId="3" borderId="0" xfId="0" applyFill="1"/>
    <xf numFmtId="164" fontId="0" fillId="3" borderId="0" xfId="0" applyNumberFormat="1" applyFill="1"/>
    <xf numFmtId="164" fontId="1" fillId="3" borderId="0" xfId="0" applyNumberFormat="1" applyFont="1" applyFill="1"/>
    <xf numFmtId="3" fontId="0" fillId="3" borderId="0" xfId="0" applyNumberFormat="1" applyFill="1"/>
    <xf numFmtId="3" fontId="1" fillId="3" borderId="0" xfId="0" applyNumberFormat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3" fontId="0" fillId="8" borderId="0" xfId="0" applyNumberFormat="1" applyFill="1"/>
    <xf numFmtId="3" fontId="1" fillId="8" borderId="0" xfId="0" applyNumberFormat="1" applyFont="1" applyFill="1"/>
    <xf numFmtId="164" fontId="0" fillId="8" borderId="0" xfId="0" applyNumberFormat="1" applyFill="1"/>
    <xf numFmtId="164" fontId="1" fillId="8" borderId="0" xfId="0" applyNumberFormat="1" applyFont="1" applyFill="1"/>
    <xf numFmtId="0" fontId="0" fillId="9" borderId="0" xfId="0" applyFill="1"/>
    <xf numFmtId="3" fontId="0" fillId="9" borderId="0" xfId="0" applyNumberFormat="1" applyFill="1"/>
    <xf numFmtId="3" fontId="1" fillId="9" borderId="0" xfId="0" applyNumberFormat="1" applyFont="1" applyFill="1"/>
    <xf numFmtId="3" fontId="0" fillId="5" borderId="0" xfId="0" applyNumberFormat="1" applyFill="1"/>
    <xf numFmtId="3" fontId="1" fillId="5" borderId="0" xfId="0" applyNumberFormat="1" applyFont="1" applyFill="1"/>
    <xf numFmtId="3" fontId="0" fillId="2" borderId="0" xfId="0" applyNumberFormat="1" applyFill="1"/>
    <xf numFmtId="3" fontId="1" fillId="2" borderId="0" xfId="0" applyNumberFormat="1" applyFont="1" applyFill="1"/>
    <xf numFmtId="0" fontId="0" fillId="10" borderId="0" xfId="0" applyFill="1"/>
    <xf numFmtId="3" fontId="0" fillId="10" borderId="0" xfId="0" applyNumberFormat="1" applyFill="1"/>
    <xf numFmtId="3" fontId="1" fillId="10" borderId="0" xfId="0" applyNumberFormat="1" applyFont="1" applyFill="1"/>
    <xf numFmtId="0" fontId="1" fillId="11" borderId="0" xfId="0" applyFont="1" applyFill="1"/>
    <xf numFmtId="166" fontId="0" fillId="11" borderId="0" xfId="0" applyNumberFormat="1" applyFill="1"/>
    <xf numFmtId="166" fontId="1" fillId="11" borderId="0" xfId="0" applyNumberFormat="1" applyFont="1" applyFill="1"/>
    <xf numFmtId="168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1" fillId="0" borderId="6" xfId="0" applyNumberFormat="1" applyFont="1" applyBorder="1"/>
    <xf numFmtId="0" fontId="0" fillId="0" borderId="6" xfId="0" applyBorder="1"/>
    <xf numFmtId="3" fontId="1" fillId="0" borderId="6" xfId="0" applyNumberFormat="1" applyFont="1" applyBorder="1"/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1" fillId="0" borderId="9" xfId="0" applyNumberFormat="1" applyFont="1" applyBorder="1"/>
    <xf numFmtId="0" fontId="0" fillId="9" borderId="5" xfId="0" applyFill="1" applyBorder="1"/>
    <xf numFmtId="166" fontId="0" fillId="9" borderId="0" xfId="0" applyNumberFormat="1" applyFill="1"/>
    <xf numFmtId="166" fontId="1" fillId="9" borderId="6" xfId="0" applyNumberFormat="1" applyFont="1" applyFill="1" applyBorder="1"/>
    <xf numFmtId="3" fontId="1" fillId="9" borderId="6" xfId="0" applyNumberFormat="1" applyFont="1" applyFill="1" applyBorder="1"/>
    <xf numFmtId="0" fontId="0" fillId="12" borderId="5" xfId="0" applyFill="1" applyBorder="1"/>
    <xf numFmtId="0" fontId="0" fillId="12" borderId="0" xfId="0" applyFill="1"/>
    <xf numFmtId="166" fontId="0" fillId="12" borderId="0" xfId="0" applyNumberFormat="1" applyFill="1"/>
    <xf numFmtId="166" fontId="1" fillId="12" borderId="6" xfId="0" applyNumberFormat="1" applyFont="1" applyFill="1" applyBorder="1"/>
    <xf numFmtId="3" fontId="0" fillId="12" borderId="0" xfId="0" applyNumberFormat="1" applyFill="1"/>
    <xf numFmtId="3" fontId="1" fillId="12" borderId="6" xfId="0" applyNumberFormat="1" applyFont="1" applyFill="1" applyBorder="1"/>
    <xf numFmtId="0" fontId="1" fillId="12" borderId="6" xfId="0" applyFont="1" applyFill="1" applyBorder="1"/>
    <xf numFmtId="166" fontId="0" fillId="0" borderId="8" xfId="0" applyNumberFormat="1" applyBorder="1"/>
    <xf numFmtId="166" fontId="1" fillId="0" borderId="9" xfId="0" applyNumberFormat="1" applyFont="1" applyBorder="1"/>
    <xf numFmtId="0" fontId="0" fillId="13" borderId="5" xfId="0" applyFill="1" applyBorder="1"/>
    <xf numFmtId="0" fontId="0" fillId="13" borderId="0" xfId="0" applyFill="1"/>
    <xf numFmtId="166" fontId="0" fillId="13" borderId="0" xfId="0" applyNumberFormat="1" applyFill="1"/>
    <xf numFmtId="166" fontId="1" fillId="13" borderId="6" xfId="0" applyNumberFormat="1" applyFont="1" applyFill="1" applyBorder="1"/>
    <xf numFmtId="0" fontId="0" fillId="14" borderId="5" xfId="0" applyFill="1" applyBorder="1"/>
    <xf numFmtId="0" fontId="0" fillId="14" borderId="0" xfId="0" applyFill="1"/>
    <xf numFmtId="166" fontId="0" fillId="14" borderId="0" xfId="0" applyNumberFormat="1" applyFill="1"/>
    <xf numFmtId="166" fontId="1" fillId="14" borderId="6" xfId="0" applyNumberFormat="1" applyFont="1" applyFill="1" applyBorder="1"/>
    <xf numFmtId="3" fontId="1" fillId="14" borderId="6" xfId="0" applyNumberFormat="1" applyFont="1" applyFill="1" applyBorder="1"/>
    <xf numFmtId="0" fontId="0" fillId="14" borderId="6" xfId="0" applyFill="1" applyBorder="1"/>
    <xf numFmtId="3" fontId="0" fillId="14" borderId="0" xfId="0" applyNumberFormat="1" applyFill="1"/>
    <xf numFmtId="0" fontId="0" fillId="3" borderId="5" xfId="0" applyFill="1" applyBorder="1"/>
    <xf numFmtId="166" fontId="0" fillId="3" borderId="0" xfId="0" applyNumberFormat="1" applyFill="1"/>
    <xf numFmtId="166" fontId="1" fillId="3" borderId="6" xfId="0" applyNumberFormat="1" applyFont="1" applyFill="1" applyBorder="1"/>
    <xf numFmtId="0" fontId="0" fillId="5" borderId="5" xfId="0" applyFill="1" applyBorder="1"/>
    <xf numFmtId="166" fontId="1" fillId="5" borderId="6" xfId="0" applyNumberFormat="1" applyFont="1" applyFill="1" applyBorder="1"/>
    <xf numFmtId="3" fontId="1" fillId="5" borderId="6" xfId="0" applyNumberFormat="1" applyFont="1" applyFill="1" applyBorder="1"/>
    <xf numFmtId="166" fontId="0" fillId="5" borderId="0" xfId="0" applyNumberFormat="1" applyFill="1"/>
    <xf numFmtId="0" fontId="1" fillId="5" borderId="6" xfId="0" applyFont="1" applyFill="1" applyBorder="1"/>
    <xf numFmtId="0" fontId="0" fillId="15" borderId="5" xfId="0" applyFill="1" applyBorder="1"/>
    <xf numFmtId="0" fontId="0" fillId="15" borderId="0" xfId="0" applyFill="1"/>
    <xf numFmtId="166" fontId="0" fillId="15" borderId="0" xfId="0" applyNumberFormat="1" applyFill="1"/>
    <xf numFmtId="166" fontId="1" fillId="15" borderId="6" xfId="0" applyNumberFormat="1" applyFont="1" applyFill="1" applyBorder="1"/>
    <xf numFmtId="0" fontId="0" fillId="10" borderId="5" xfId="0" applyFill="1" applyBorder="1"/>
    <xf numFmtId="166" fontId="1" fillId="10" borderId="6" xfId="0" applyNumberFormat="1" applyFont="1" applyFill="1" applyBorder="1"/>
    <xf numFmtId="0" fontId="6" fillId="3" borderId="5" xfId="0" applyFont="1" applyFill="1" applyBorder="1"/>
    <xf numFmtId="0" fontId="6" fillId="3" borderId="0" xfId="0" applyFont="1" applyFill="1"/>
    <xf numFmtId="166" fontId="6" fillId="3" borderId="0" xfId="0" applyNumberFormat="1" applyFont="1" applyFill="1"/>
    <xf numFmtId="0" fontId="7" fillId="3" borderId="6" xfId="0" applyFont="1" applyFill="1" applyBorder="1"/>
    <xf numFmtId="166" fontId="7" fillId="3" borderId="6" xfId="0" applyNumberFormat="1" applyFont="1" applyFill="1" applyBorder="1"/>
    <xf numFmtId="10" fontId="0" fillId="0" borderId="0" xfId="0" applyNumberFormat="1"/>
    <xf numFmtId="10" fontId="0" fillId="0" borderId="0" xfId="1" applyNumberFormat="1" applyFont="1"/>
    <xf numFmtId="10" fontId="9" fillId="0" borderId="0" xfId="0" applyNumberFormat="1" applyFont="1"/>
    <xf numFmtId="9" fontId="9" fillId="0" borderId="0" xfId="0" applyNumberFormat="1" applyFont="1"/>
    <xf numFmtId="169" fontId="9" fillId="0" borderId="0" xfId="1" applyNumberFormat="1" applyFont="1"/>
    <xf numFmtId="0" fontId="9" fillId="0" borderId="0" xfId="0" applyFont="1"/>
    <xf numFmtId="10" fontId="4" fillId="0" borderId="0" xfId="1" applyNumberFormat="1" applyFont="1"/>
    <xf numFmtId="2" fontId="0" fillId="0" borderId="0" xfId="1" applyNumberFormat="1" applyFont="1"/>
    <xf numFmtId="170" fontId="0" fillId="0" borderId="0" xfId="1" applyNumberFormat="1" applyFont="1"/>
    <xf numFmtId="168" fontId="10" fillId="0" borderId="0" xfId="0" applyNumberFormat="1" applyFont="1"/>
    <xf numFmtId="168" fontId="9" fillId="0" borderId="0" xfId="0" applyNumberFormat="1" applyFont="1"/>
    <xf numFmtId="0" fontId="0" fillId="16" borderId="0" xfId="0" applyFill="1"/>
    <xf numFmtId="0" fontId="11" fillId="0" borderId="0" xfId="1" applyNumberFormat="1" applyFont="1"/>
    <xf numFmtId="171" fontId="0" fillId="0" borderId="0" xfId="2" applyNumberFormat="1" applyFont="1"/>
    <xf numFmtId="2" fontId="0" fillId="0" borderId="0" xfId="0" applyNumberFormat="1"/>
    <xf numFmtId="0" fontId="0" fillId="11" borderId="0" xfId="0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I43"/>
  <sheetViews>
    <sheetView zoomScale="115" zoomScaleNormal="115" workbookViewId="0">
      <selection activeCell="A34" sqref="A34"/>
    </sheetView>
  </sheetViews>
  <sheetFormatPr defaultColWidth="8.6640625" defaultRowHeight="14.4" x14ac:dyDescent="0.3"/>
  <cols>
    <col min="1" max="1" width="49" bestFit="1" customWidth="1"/>
  </cols>
  <sheetData>
    <row r="2" spans="1:9" x14ac:dyDescent="0.3">
      <c r="A2" s="1" t="s">
        <v>28</v>
      </c>
      <c r="B2" s="1"/>
    </row>
    <row r="6" spans="1:9" x14ac:dyDescent="0.3">
      <c r="A6" s="11" t="s">
        <v>6</v>
      </c>
      <c r="C6" s="1" t="s">
        <v>3</v>
      </c>
      <c r="D6" s="1" t="s">
        <v>2</v>
      </c>
      <c r="E6" s="1" t="s">
        <v>1</v>
      </c>
      <c r="F6" s="1"/>
      <c r="H6" s="1"/>
      <c r="I6" s="1"/>
    </row>
    <row r="7" spans="1:9" x14ac:dyDescent="0.3">
      <c r="A7" t="s">
        <v>29</v>
      </c>
    </row>
    <row r="8" spans="1:9" x14ac:dyDescent="0.3">
      <c r="A8" t="s">
        <v>30</v>
      </c>
      <c r="C8" s="6">
        <v>5648</v>
      </c>
      <c r="D8" s="6">
        <v>5371</v>
      </c>
      <c r="E8" s="2">
        <v>6428</v>
      </c>
      <c r="H8" s="6"/>
    </row>
    <row r="9" spans="1:9" x14ac:dyDescent="0.3">
      <c r="A9" t="s">
        <v>31</v>
      </c>
      <c r="C9" s="7">
        <v>7470</v>
      </c>
      <c r="D9" s="7">
        <v>7385</v>
      </c>
      <c r="E9" s="3">
        <v>7870</v>
      </c>
      <c r="H9" s="7"/>
    </row>
    <row r="10" spans="1:9" x14ac:dyDescent="0.3">
      <c r="C10" s="7">
        <v>13118</v>
      </c>
      <c r="D10" s="7">
        <v>12756</v>
      </c>
      <c r="E10" s="3">
        <v>14298</v>
      </c>
      <c r="H10" s="7"/>
    </row>
    <row r="11" spans="1:9" x14ac:dyDescent="0.3">
      <c r="A11" t="s">
        <v>32</v>
      </c>
    </row>
    <row r="12" spans="1:9" x14ac:dyDescent="0.3">
      <c r="A12" t="s">
        <v>33</v>
      </c>
      <c r="C12" s="7">
        <v>4640</v>
      </c>
      <c r="D12" s="7">
        <v>4439</v>
      </c>
      <c r="E12" s="3">
        <v>5293</v>
      </c>
      <c r="H12" s="7"/>
    </row>
    <row r="13" spans="1:9" x14ac:dyDescent="0.3">
      <c r="A13" t="s">
        <v>34</v>
      </c>
      <c r="C13" s="7">
        <v>4652</v>
      </c>
      <c r="D13" s="7">
        <v>4538</v>
      </c>
      <c r="E13" s="3">
        <v>4812</v>
      </c>
      <c r="H13" s="7"/>
    </row>
    <row r="14" spans="1:9" x14ac:dyDescent="0.3">
      <c r="A14" t="s">
        <v>4</v>
      </c>
      <c r="C14" s="7">
        <v>163</v>
      </c>
      <c r="D14" s="7">
        <v>152</v>
      </c>
      <c r="E14" s="3">
        <v>159</v>
      </c>
      <c r="H14" s="7"/>
    </row>
    <row r="15" spans="1:9" x14ac:dyDescent="0.3">
      <c r="A15" t="s">
        <v>5</v>
      </c>
      <c r="C15" s="7">
        <v>1810</v>
      </c>
      <c r="D15" s="7">
        <v>1924</v>
      </c>
      <c r="E15" s="3">
        <v>1948</v>
      </c>
      <c r="H15" s="7"/>
    </row>
    <row r="16" spans="1:9" x14ac:dyDescent="0.3">
      <c r="C16" s="7">
        <v>11265</v>
      </c>
      <c r="D16" s="7">
        <v>11053</v>
      </c>
      <c r="E16" s="3">
        <v>12212</v>
      </c>
      <c r="H16" s="7"/>
    </row>
    <row r="17" spans="1:8" x14ac:dyDescent="0.3">
      <c r="A17" t="s">
        <v>35</v>
      </c>
      <c r="C17" s="8">
        <v>-39</v>
      </c>
      <c r="D17" s="8">
        <v>-64</v>
      </c>
      <c r="E17" s="3">
        <v>22</v>
      </c>
      <c r="H17" s="8"/>
    </row>
    <row r="18" spans="1:8" x14ac:dyDescent="0.3">
      <c r="A18" t="s">
        <v>8</v>
      </c>
      <c r="C18" s="7">
        <v>1814</v>
      </c>
      <c r="D18" s="7">
        <v>1639</v>
      </c>
      <c r="E18" s="3">
        <v>2108</v>
      </c>
      <c r="H18" s="7"/>
    </row>
    <row r="19" spans="1:8" x14ac:dyDescent="0.3">
      <c r="A19" t="s">
        <v>116</v>
      </c>
      <c r="C19" s="8">
        <v>-33</v>
      </c>
      <c r="D19" s="7">
        <v>6</v>
      </c>
      <c r="E19" s="3">
        <v>11</v>
      </c>
      <c r="H19" s="8"/>
    </row>
    <row r="20" spans="1:8" x14ac:dyDescent="0.3">
      <c r="A20" t="s">
        <v>117</v>
      </c>
      <c r="C20" s="8">
        <v>-14</v>
      </c>
      <c r="D20" s="7">
        <v>122</v>
      </c>
      <c r="E20" s="3">
        <v>136</v>
      </c>
      <c r="H20" s="8"/>
    </row>
    <row r="21" spans="1:8" x14ac:dyDescent="0.3">
      <c r="A21" t="s">
        <v>36</v>
      </c>
      <c r="C21" s="7">
        <v>1861</v>
      </c>
      <c r="D21" s="7">
        <v>1511</v>
      </c>
      <c r="E21" s="3">
        <v>1961</v>
      </c>
      <c r="H21" s="7"/>
    </row>
    <row r="22" spans="1:8" x14ac:dyDescent="0.3">
      <c r="A22" t="s">
        <v>37</v>
      </c>
      <c r="C22" s="7">
        <v>594</v>
      </c>
      <c r="D22" s="7">
        <v>455</v>
      </c>
      <c r="E22" s="3">
        <v>541</v>
      </c>
      <c r="H22" s="7"/>
    </row>
    <row r="23" spans="1:8" x14ac:dyDescent="0.3">
      <c r="A23" t="s">
        <v>38</v>
      </c>
      <c r="C23" s="7">
        <v>1267</v>
      </c>
      <c r="D23" s="7">
        <v>1056</v>
      </c>
      <c r="E23" s="3">
        <v>1420</v>
      </c>
      <c r="H23" s="7"/>
    </row>
    <row r="24" spans="1:8" x14ac:dyDescent="0.3">
      <c r="A24" t="s">
        <v>39</v>
      </c>
      <c r="C24" s="7">
        <v>151</v>
      </c>
      <c r="D24" s="7">
        <v>150</v>
      </c>
      <c r="E24" s="3">
        <v>174</v>
      </c>
      <c r="H24" s="7"/>
    </row>
    <row r="33" spans="1:8" x14ac:dyDescent="0.3">
      <c r="A33" s="1" t="s">
        <v>119</v>
      </c>
      <c r="C33" s="6">
        <v>1116</v>
      </c>
      <c r="D33" s="6">
        <v>906</v>
      </c>
      <c r="E33" s="2">
        <v>1246</v>
      </c>
      <c r="H33" s="6"/>
    </row>
    <row r="37" spans="1:8" x14ac:dyDescent="0.3">
      <c r="A37" s="1" t="s">
        <v>40</v>
      </c>
    </row>
    <row r="39" spans="1:8" x14ac:dyDescent="0.3">
      <c r="A39" t="s">
        <v>41</v>
      </c>
      <c r="C39" s="9">
        <v>2.5499999999999998</v>
      </c>
      <c r="D39" s="9">
        <v>2.09</v>
      </c>
      <c r="E39" s="4">
        <v>2.91</v>
      </c>
      <c r="H39" s="9"/>
    </row>
    <row r="40" spans="1:8" x14ac:dyDescent="0.3">
      <c r="A40" t="s">
        <v>42</v>
      </c>
      <c r="C40" s="9">
        <v>2.5499999999999998</v>
      </c>
      <c r="D40" s="9">
        <v>2.08</v>
      </c>
      <c r="E40" s="4">
        <v>2.89</v>
      </c>
      <c r="H40" s="9"/>
    </row>
    <row r="41" spans="1:8" x14ac:dyDescent="0.3">
      <c r="A41" t="s">
        <v>43</v>
      </c>
    </row>
    <row r="42" spans="1:8" x14ac:dyDescent="0.3">
      <c r="A42" t="s">
        <v>44</v>
      </c>
      <c r="C42" s="10">
        <v>433.1</v>
      </c>
      <c r="D42" s="10">
        <v>433.2</v>
      </c>
      <c r="E42" s="5">
        <v>427.7</v>
      </c>
      <c r="H42" s="10"/>
    </row>
    <row r="43" spans="1:8" x14ac:dyDescent="0.3">
      <c r="A43" t="s">
        <v>45</v>
      </c>
      <c r="C43" s="10">
        <v>433.1</v>
      </c>
      <c r="D43" s="10">
        <v>434.6</v>
      </c>
      <c r="E43" s="5">
        <v>431.4</v>
      </c>
      <c r="H43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F46"/>
  <sheetViews>
    <sheetView zoomScale="115" zoomScaleNormal="115" workbookViewId="0">
      <selection activeCell="D17" activeCellId="1" sqref="D15 D17:D18"/>
    </sheetView>
  </sheetViews>
  <sheetFormatPr defaultColWidth="8.6640625" defaultRowHeight="14.4" x14ac:dyDescent="0.3"/>
  <cols>
    <col min="1" max="1" width="69.88671875" customWidth="1"/>
    <col min="2" max="2" width="1.77734375" customWidth="1"/>
    <col min="3" max="3" width="2.44140625" customWidth="1"/>
    <col min="4" max="5" width="9.109375" bestFit="1" customWidth="1"/>
  </cols>
  <sheetData>
    <row r="2" spans="1:6" x14ac:dyDescent="0.3">
      <c r="A2" s="1" t="s">
        <v>46</v>
      </c>
      <c r="B2" s="1"/>
      <c r="C2" s="1"/>
    </row>
    <row r="5" spans="1:6" x14ac:dyDescent="0.3">
      <c r="A5" s="11" t="s">
        <v>0</v>
      </c>
      <c r="B5" s="11"/>
      <c r="C5" s="11"/>
      <c r="D5" s="1" t="s">
        <v>2</v>
      </c>
      <c r="E5" s="1" t="s">
        <v>1</v>
      </c>
      <c r="F5" s="1"/>
    </row>
    <row r="6" spans="1:6" x14ac:dyDescent="0.3">
      <c r="A6" s="1" t="s">
        <v>47</v>
      </c>
      <c r="B6" s="1"/>
      <c r="C6" s="1"/>
    </row>
    <row r="7" spans="1:6" x14ac:dyDescent="0.3">
      <c r="A7" s="22" t="s">
        <v>9</v>
      </c>
      <c r="B7" s="22"/>
      <c r="C7" s="22"/>
      <c r="D7" s="23">
        <v>1782</v>
      </c>
      <c r="E7" s="24">
        <v>1565</v>
      </c>
    </row>
    <row r="8" spans="1:6" x14ac:dyDescent="0.3">
      <c r="A8" s="22" t="s">
        <v>48</v>
      </c>
      <c r="B8" s="22"/>
      <c r="C8" s="22"/>
      <c r="D8" s="25">
        <v>17</v>
      </c>
      <c r="E8" s="26">
        <v>1910</v>
      </c>
    </row>
    <row r="9" spans="1:6" x14ac:dyDescent="0.3">
      <c r="A9" s="27" t="s">
        <v>49</v>
      </c>
      <c r="D9" s="7">
        <v>3148</v>
      </c>
      <c r="E9" s="3">
        <v>3232</v>
      </c>
    </row>
    <row r="10" spans="1:6" x14ac:dyDescent="0.3">
      <c r="A10" s="28" t="s">
        <v>50</v>
      </c>
      <c r="D10" s="7">
        <v>458</v>
      </c>
      <c r="E10" s="3">
        <v>550</v>
      </c>
    </row>
    <row r="11" spans="1:6" x14ac:dyDescent="0.3">
      <c r="A11" s="28" t="s">
        <v>51</v>
      </c>
      <c r="D11" s="7">
        <v>659</v>
      </c>
      <c r="E11" s="3">
        <v>622</v>
      </c>
    </row>
    <row r="12" spans="1:6" x14ac:dyDescent="0.3">
      <c r="A12" s="28" t="s">
        <v>52</v>
      </c>
      <c r="D12" s="7">
        <v>429</v>
      </c>
      <c r="E12" s="3">
        <v>382</v>
      </c>
    </row>
    <row r="13" spans="1:6" x14ac:dyDescent="0.3">
      <c r="A13" s="1" t="s">
        <v>53</v>
      </c>
      <c r="B13" s="1"/>
      <c r="C13" s="1"/>
      <c r="D13" s="7">
        <v>6493</v>
      </c>
      <c r="E13" s="3">
        <v>8261</v>
      </c>
    </row>
    <row r="14" spans="1:6" x14ac:dyDescent="0.3">
      <c r="A14" s="14" t="s">
        <v>54</v>
      </c>
      <c r="D14" s="7">
        <v>334</v>
      </c>
      <c r="E14" s="3">
        <v>335</v>
      </c>
    </row>
    <row r="15" spans="1:6" x14ac:dyDescent="0.3">
      <c r="A15" s="30" t="s">
        <v>55</v>
      </c>
      <c r="D15" s="7">
        <v>774</v>
      </c>
      <c r="E15" s="3">
        <v>774</v>
      </c>
    </row>
    <row r="16" spans="1:6" x14ac:dyDescent="0.3">
      <c r="A16" s="29" t="s">
        <v>56</v>
      </c>
      <c r="D16" s="7">
        <v>542</v>
      </c>
      <c r="E16" s="3">
        <v>526</v>
      </c>
    </row>
    <row r="17" spans="1:5" x14ac:dyDescent="0.3">
      <c r="A17" s="30" t="s">
        <v>57</v>
      </c>
      <c r="D17" s="7">
        <v>484</v>
      </c>
      <c r="E17" s="3">
        <v>419</v>
      </c>
    </row>
    <row r="18" spans="1:5" x14ac:dyDescent="0.3">
      <c r="A18" s="30" t="s">
        <v>58</v>
      </c>
      <c r="D18" s="7">
        <v>1773</v>
      </c>
      <c r="E18" s="3">
        <v>1667</v>
      </c>
    </row>
    <row r="19" spans="1:5" x14ac:dyDescent="0.3">
      <c r="A19" s="14" t="s">
        <v>59</v>
      </c>
      <c r="D19" s="7">
        <v>310</v>
      </c>
      <c r="E19" s="3">
        <v>297</v>
      </c>
    </row>
    <row r="20" spans="1:5" x14ac:dyDescent="0.3">
      <c r="A20" s="1" t="s">
        <v>60</v>
      </c>
      <c r="B20" s="1"/>
      <c r="C20" s="1"/>
      <c r="D20" s="6">
        <v>10710</v>
      </c>
      <c r="E20" s="2">
        <v>12279</v>
      </c>
    </row>
    <row r="21" spans="1:5" x14ac:dyDescent="0.3">
      <c r="A21" s="1" t="s">
        <v>61</v>
      </c>
      <c r="B21" s="1"/>
      <c r="C21" s="1"/>
    </row>
    <row r="22" spans="1:5" x14ac:dyDescent="0.3">
      <c r="A22" s="31" t="s">
        <v>62</v>
      </c>
      <c r="B22" s="31"/>
      <c r="C22" s="31"/>
      <c r="D22" s="34">
        <v>701</v>
      </c>
      <c r="E22" s="35">
        <v>24</v>
      </c>
    </row>
    <row r="23" spans="1:5" x14ac:dyDescent="0.3">
      <c r="A23" s="36" t="s">
        <v>63</v>
      </c>
      <c r="B23" s="36"/>
      <c r="C23" s="36"/>
      <c r="D23" s="37">
        <v>1453</v>
      </c>
      <c r="E23" s="38">
        <v>1556</v>
      </c>
    </row>
    <row r="24" spans="1:5" x14ac:dyDescent="0.3">
      <c r="A24" s="28" t="s">
        <v>64</v>
      </c>
      <c r="B24" s="28"/>
      <c r="C24" s="28"/>
      <c r="D24" s="39">
        <v>1977</v>
      </c>
      <c r="E24" s="40">
        <v>1993</v>
      </c>
    </row>
    <row r="25" spans="1:5" x14ac:dyDescent="0.3">
      <c r="A25" s="14" t="s">
        <v>65</v>
      </c>
      <c r="B25" s="14"/>
      <c r="C25" s="14"/>
      <c r="D25" s="41">
        <v>2542</v>
      </c>
      <c r="E25" s="42">
        <v>2674</v>
      </c>
    </row>
    <row r="27" spans="1:5" x14ac:dyDescent="0.3">
      <c r="A27" s="1" t="s">
        <v>66</v>
      </c>
      <c r="B27" s="1"/>
      <c r="C27" s="1"/>
      <c r="D27" s="7">
        <v>6673</v>
      </c>
      <c r="E27" s="3">
        <v>6247</v>
      </c>
    </row>
    <row r="28" spans="1:5" x14ac:dyDescent="0.3">
      <c r="A28" s="31" t="s">
        <v>67</v>
      </c>
      <c r="B28" s="31"/>
      <c r="C28" s="31"/>
      <c r="D28" s="32">
        <v>5262</v>
      </c>
      <c r="E28" s="33">
        <v>7249</v>
      </c>
    </row>
    <row r="29" spans="1:5" x14ac:dyDescent="0.3">
      <c r="A29" s="43" t="s">
        <v>68</v>
      </c>
      <c r="B29" s="43"/>
      <c r="C29" s="43"/>
      <c r="D29" s="44">
        <v>654</v>
      </c>
      <c r="E29" s="45">
        <v>558</v>
      </c>
    </row>
    <row r="30" spans="1:5" x14ac:dyDescent="0.3">
      <c r="A30" t="s">
        <v>69</v>
      </c>
      <c r="D30" s="7">
        <v>367</v>
      </c>
      <c r="E30" s="3">
        <v>336</v>
      </c>
    </row>
    <row r="31" spans="1:5" x14ac:dyDescent="0.3">
      <c r="A31" s="43" t="s">
        <v>70</v>
      </c>
      <c r="B31" s="43"/>
      <c r="C31" s="43"/>
      <c r="D31" s="44">
        <v>321</v>
      </c>
      <c r="E31" s="45">
        <v>267</v>
      </c>
    </row>
    <row r="32" spans="1:5" x14ac:dyDescent="0.3">
      <c r="A32" s="43" t="s">
        <v>27</v>
      </c>
      <c r="B32" s="43"/>
      <c r="C32" s="43"/>
      <c r="D32" s="44">
        <v>634</v>
      </c>
      <c r="E32" s="45">
        <v>606</v>
      </c>
    </row>
    <row r="33" spans="1:5" x14ac:dyDescent="0.3">
      <c r="A33" s="1" t="s">
        <v>71</v>
      </c>
      <c r="B33" s="1"/>
      <c r="C33" s="1"/>
      <c r="D33" s="7">
        <v>13911</v>
      </c>
      <c r="E33" s="3">
        <v>15263</v>
      </c>
    </row>
    <row r="34" spans="1:5" x14ac:dyDescent="0.3">
      <c r="A34" t="s">
        <v>72</v>
      </c>
    </row>
    <row r="35" spans="1:5" x14ac:dyDescent="0.3">
      <c r="A35" s="36" t="s">
        <v>73</v>
      </c>
      <c r="B35" s="36"/>
      <c r="C35" s="36"/>
      <c r="D35" s="37">
        <v>194</v>
      </c>
      <c r="E35" s="38">
        <v>160</v>
      </c>
    </row>
    <row r="36" spans="1:5" x14ac:dyDescent="0.3">
      <c r="A36" t="s">
        <v>74</v>
      </c>
    </row>
    <row r="37" spans="1:5" x14ac:dyDescent="0.3">
      <c r="A37" t="s">
        <v>75</v>
      </c>
      <c r="D37" s="7">
        <v>59</v>
      </c>
      <c r="E37" s="3">
        <v>119</v>
      </c>
    </row>
    <row r="38" spans="1:5" x14ac:dyDescent="0.3">
      <c r="A38" t="s">
        <v>76</v>
      </c>
      <c r="D38" t="s">
        <v>7</v>
      </c>
      <c r="E38" s="12">
        <v>-725</v>
      </c>
    </row>
    <row r="40" spans="1:5" x14ac:dyDescent="0.3">
      <c r="A40" t="s">
        <v>77</v>
      </c>
      <c r="D40" s="8">
        <v>-3106</v>
      </c>
      <c r="E40" s="12">
        <v>-2256</v>
      </c>
    </row>
    <row r="42" spans="1:5" x14ac:dyDescent="0.3">
      <c r="A42" t="s">
        <v>78</v>
      </c>
      <c r="D42" s="8">
        <v>-815</v>
      </c>
      <c r="E42" s="12">
        <v>-763</v>
      </c>
    </row>
    <row r="43" spans="1:5" x14ac:dyDescent="0.3">
      <c r="A43" s="46" t="s">
        <v>79</v>
      </c>
      <c r="B43" s="46"/>
      <c r="C43" s="46"/>
      <c r="D43" s="47">
        <v>-3862</v>
      </c>
      <c r="E43" s="48">
        <v>-3625</v>
      </c>
    </row>
    <row r="44" spans="1:5" x14ac:dyDescent="0.3">
      <c r="A44" s="36" t="s">
        <v>80</v>
      </c>
      <c r="B44" s="36"/>
      <c r="C44" s="36"/>
      <c r="D44" s="37">
        <v>467</v>
      </c>
      <c r="E44" s="38">
        <v>481</v>
      </c>
    </row>
    <row r="45" spans="1:5" x14ac:dyDescent="0.3">
      <c r="A45" s="1" t="s">
        <v>81</v>
      </c>
      <c r="B45" s="1"/>
      <c r="C45" s="1"/>
      <c r="D45" s="8">
        <v>-3395</v>
      </c>
      <c r="E45" s="12">
        <v>-3144</v>
      </c>
    </row>
    <row r="46" spans="1:5" x14ac:dyDescent="0.3">
      <c r="A46" s="1" t="s">
        <v>82</v>
      </c>
      <c r="B46" s="1"/>
      <c r="C46" s="1"/>
      <c r="D46" s="6">
        <v>10710</v>
      </c>
      <c r="E46" s="2">
        <v>12279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E58"/>
  <sheetViews>
    <sheetView zoomScale="115" zoomScaleNormal="115" workbookViewId="0">
      <selection activeCell="A55" sqref="A55"/>
    </sheetView>
  </sheetViews>
  <sheetFormatPr defaultColWidth="8.6640625" defaultRowHeight="14.4" x14ac:dyDescent="0.3"/>
  <cols>
    <col min="1" max="1" width="89.21875" bestFit="1" customWidth="1"/>
    <col min="2" max="2" width="8.88671875" customWidth="1"/>
  </cols>
  <sheetData>
    <row r="2" spans="1:5" x14ac:dyDescent="0.3">
      <c r="A2" s="1" t="s">
        <v>83</v>
      </c>
      <c r="B2" s="1"/>
    </row>
    <row r="5" spans="1:5" ht="15" thickBot="1" x14ac:dyDescent="0.35">
      <c r="A5" s="11" t="s">
        <v>0</v>
      </c>
      <c r="B5" s="11"/>
      <c r="C5" s="1" t="s">
        <v>3</v>
      </c>
      <c r="D5" s="1" t="s">
        <v>2</v>
      </c>
      <c r="E5" s="1" t="s">
        <v>1</v>
      </c>
    </row>
    <row r="6" spans="1:5" x14ac:dyDescent="0.3">
      <c r="A6" s="50" t="s">
        <v>84</v>
      </c>
      <c r="B6" s="51"/>
      <c r="C6" s="51"/>
      <c r="D6" s="51"/>
      <c r="E6" s="52"/>
    </row>
    <row r="7" spans="1:5" x14ac:dyDescent="0.3">
      <c r="A7" s="53" t="s">
        <v>38</v>
      </c>
      <c r="C7" s="6">
        <v>1267</v>
      </c>
      <c r="D7" s="6">
        <v>1056</v>
      </c>
      <c r="E7" s="54">
        <v>1420</v>
      </c>
    </row>
    <row r="8" spans="1:5" x14ac:dyDescent="0.3">
      <c r="A8" s="53" t="s">
        <v>85</v>
      </c>
      <c r="E8" s="55"/>
    </row>
    <row r="9" spans="1:5" x14ac:dyDescent="0.3">
      <c r="A9" s="53" t="s">
        <v>86</v>
      </c>
      <c r="C9" s="7">
        <v>180</v>
      </c>
      <c r="D9" s="7">
        <v>191</v>
      </c>
      <c r="E9" s="56">
        <v>203</v>
      </c>
    </row>
    <row r="10" spans="1:5" x14ac:dyDescent="0.3">
      <c r="A10" s="65" t="s">
        <v>87</v>
      </c>
      <c r="B10" s="66"/>
      <c r="C10" s="67">
        <v>-8</v>
      </c>
      <c r="D10" s="67">
        <v>-51</v>
      </c>
      <c r="E10" s="68">
        <v>-92</v>
      </c>
    </row>
    <row r="11" spans="1:5" x14ac:dyDescent="0.3">
      <c r="A11" s="65" t="s">
        <v>88</v>
      </c>
      <c r="B11" s="66"/>
      <c r="C11" s="69">
        <v>37</v>
      </c>
      <c r="D11" s="69">
        <v>63</v>
      </c>
      <c r="E11" s="70">
        <v>65</v>
      </c>
    </row>
    <row r="12" spans="1:5" x14ac:dyDescent="0.3">
      <c r="A12" s="65" t="s">
        <v>89</v>
      </c>
      <c r="B12" s="66"/>
      <c r="C12" s="69">
        <v>26</v>
      </c>
      <c r="D12" s="69">
        <v>71</v>
      </c>
      <c r="E12" s="71">
        <v>0</v>
      </c>
    </row>
    <row r="13" spans="1:5" x14ac:dyDescent="0.3">
      <c r="A13" s="53"/>
      <c r="E13" s="55"/>
    </row>
    <row r="14" spans="1:5" x14ac:dyDescent="0.3">
      <c r="A14" s="53"/>
      <c r="E14" s="55"/>
    </row>
    <row r="15" spans="1:5" x14ac:dyDescent="0.3">
      <c r="A15" s="53" t="s">
        <v>90</v>
      </c>
      <c r="E15" s="55"/>
    </row>
    <row r="16" spans="1:5" x14ac:dyDescent="0.3">
      <c r="A16" s="61" t="s">
        <v>91</v>
      </c>
      <c r="B16" s="36"/>
      <c r="C16" s="62">
        <v>-191</v>
      </c>
      <c r="D16" s="62">
        <v>-163</v>
      </c>
      <c r="E16" s="63">
        <v>-152</v>
      </c>
    </row>
    <row r="17" spans="1:5" x14ac:dyDescent="0.3">
      <c r="A17" s="61" t="s">
        <v>92</v>
      </c>
      <c r="B17" s="36"/>
      <c r="C17" s="37">
        <v>97</v>
      </c>
      <c r="D17" s="37">
        <v>282</v>
      </c>
      <c r="E17" s="64">
        <v>53</v>
      </c>
    </row>
    <row r="18" spans="1:5" x14ac:dyDescent="0.3">
      <c r="A18" s="61" t="s">
        <v>51</v>
      </c>
      <c r="B18" s="36"/>
      <c r="C18" s="37">
        <v>60</v>
      </c>
      <c r="D18" s="62">
        <v>-76</v>
      </c>
      <c r="E18" s="64">
        <v>14</v>
      </c>
    </row>
    <row r="19" spans="1:5" x14ac:dyDescent="0.3">
      <c r="A19" s="61" t="s">
        <v>52</v>
      </c>
      <c r="B19" s="36"/>
      <c r="C19" s="37">
        <v>30</v>
      </c>
      <c r="D19" s="37">
        <v>28</v>
      </c>
      <c r="E19" s="64">
        <v>43</v>
      </c>
    </row>
    <row r="20" spans="1:5" x14ac:dyDescent="0.3">
      <c r="A20" s="61" t="s">
        <v>63</v>
      </c>
      <c r="B20" s="36"/>
      <c r="C20" s="37">
        <v>6</v>
      </c>
      <c r="D20" s="37">
        <v>20</v>
      </c>
      <c r="E20" s="64">
        <v>130</v>
      </c>
    </row>
    <row r="21" spans="1:5" x14ac:dyDescent="0.3">
      <c r="A21" s="61" t="s">
        <v>64</v>
      </c>
      <c r="B21" s="36"/>
      <c r="C21" s="62">
        <v>-34</v>
      </c>
      <c r="D21" s="62">
        <v>-14</v>
      </c>
      <c r="E21" s="64">
        <v>72</v>
      </c>
    </row>
    <row r="22" spans="1:5" x14ac:dyDescent="0.3">
      <c r="A22" s="53"/>
      <c r="E22" s="55"/>
    </row>
    <row r="23" spans="1:5" x14ac:dyDescent="0.3">
      <c r="A23" s="53"/>
      <c r="E23" s="55"/>
    </row>
    <row r="24" spans="1:5" x14ac:dyDescent="0.3">
      <c r="A24" s="65" t="s">
        <v>93</v>
      </c>
      <c r="B24" s="66"/>
      <c r="C24" s="67">
        <v>-32</v>
      </c>
      <c r="D24" s="67">
        <v>-64</v>
      </c>
      <c r="E24" s="68">
        <v>-37</v>
      </c>
    </row>
    <row r="25" spans="1:5" x14ac:dyDescent="0.3">
      <c r="A25" s="65" t="s">
        <v>94</v>
      </c>
      <c r="B25" s="66"/>
      <c r="C25" s="69">
        <v>31</v>
      </c>
      <c r="D25" s="69">
        <v>137</v>
      </c>
      <c r="E25" s="70">
        <v>31</v>
      </c>
    </row>
    <row r="26" spans="1:5" ht="15" thickBot="1" x14ac:dyDescent="0.35">
      <c r="A26" s="57" t="s">
        <v>10</v>
      </c>
      <c r="B26" s="58"/>
      <c r="C26" s="59">
        <v>1469</v>
      </c>
      <c r="D26" s="59">
        <v>1480</v>
      </c>
      <c r="E26" s="60">
        <v>1750</v>
      </c>
    </row>
    <row r="27" spans="1:5" x14ac:dyDescent="0.3">
      <c r="A27" s="50" t="s">
        <v>11</v>
      </c>
      <c r="B27" s="51"/>
      <c r="C27" s="51"/>
      <c r="D27" s="51"/>
      <c r="E27" s="52"/>
    </row>
    <row r="28" spans="1:5" x14ac:dyDescent="0.3">
      <c r="A28" s="74" t="s">
        <v>12</v>
      </c>
      <c r="B28" s="75"/>
      <c r="C28" s="76">
        <v>-145</v>
      </c>
      <c r="D28" s="76">
        <v>-183</v>
      </c>
      <c r="E28" s="77">
        <v>-156</v>
      </c>
    </row>
    <row r="29" spans="1:5" x14ac:dyDescent="0.3">
      <c r="A29" s="78" t="s">
        <v>95</v>
      </c>
      <c r="B29" s="79"/>
      <c r="C29" s="80">
        <v>-47</v>
      </c>
      <c r="D29" s="80">
        <v>-53</v>
      </c>
      <c r="E29" s="81">
        <v>-80</v>
      </c>
    </row>
    <row r="30" spans="1:5" x14ac:dyDescent="0.3">
      <c r="A30" s="78" t="s">
        <v>13</v>
      </c>
      <c r="B30" s="79"/>
      <c r="C30" s="79">
        <v>0</v>
      </c>
      <c r="D30" s="80">
        <v>-51</v>
      </c>
      <c r="E30" s="82">
        <v>40</v>
      </c>
    </row>
    <row r="31" spans="1:5" x14ac:dyDescent="0.3">
      <c r="A31" s="78"/>
      <c r="B31" s="79"/>
      <c r="C31" s="79"/>
      <c r="D31" s="79"/>
      <c r="E31" s="83"/>
    </row>
    <row r="32" spans="1:5" x14ac:dyDescent="0.3">
      <c r="A32" s="78" t="s">
        <v>14</v>
      </c>
      <c r="B32" s="79"/>
      <c r="C32" s="80">
        <v>-5</v>
      </c>
      <c r="D32" s="80">
        <v>-69</v>
      </c>
      <c r="E32" s="82">
        <v>73</v>
      </c>
    </row>
    <row r="33" spans="1:5" x14ac:dyDescent="0.3">
      <c r="A33" s="78" t="s">
        <v>15</v>
      </c>
      <c r="B33" s="79"/>
      <c r="C33" s="80">
        <v>-6</v>
      </c>
      <c r="D33" s="84">
        <v>3</v>
      </c>
      <c r="E33" s="82">
        <v>34</v>
      </c>
    </row>
    <row r="34" spans="1:5" ht="15" thickBot="1" x14ac:dyDescent="0.35">
      <c r="A34" s="57" t="s">
        <v>16</v>
      </c>
      <c r="B34" s="58"/>
      <c r="C34" s="72">
        <v>-203</v>
      </c>
      <c r="D34" s="72">
        <v>-353</v>
      </c>
      <c r="E34" s="73">
        <v>-89</v>
      </c>
    </row>
    <row r="35" spans="1:5" x14ac:dyDescent="0.3">
      <c r="A35" s="50" t="s">
        <v>18</v>
      </c>
      <c r="B35" s="51"/>
      <c r="C35" s="51"/>
      <c r="D35" s="51"/>
      <c r="E35" s="52"/>
    </row>
    <row r="36" spans="1:5" x14ac:dyDescent="0.3">
      <c r="A36" s="88" t="s">
        <v>96</v>
      </c>
      <c r="B36" s="28"/>
      <c r="C36" s="39">
        <v>6</v>
      </c>
      <c r="D36" s="39">
        <v>647</v>
      </c>
      <c r="E36" s="89">
        <v>-304</v>
      </c>
    </row>
    <row r="37" spans="1:5" x14ac:dyDescent="0.3">
      <c r="A37" s="88" t="s">
        <v>97</v>
      </c>
      <c r="B37" s="28"/>
      <c r="C37" s="28">
        <v>0</v>
      </c>
      <c r="D37" s="28">
        <v>0</v>
      </c>
      <c r="E37" s="90">
        <v>152</v>
      </c>
    </row>
    <row r="38" spans="1:5" x14ac:dyDescent="0.3">
      <c r="A38" s="88" t="s">
        <v>98</v>
      </c>
      <c r="B38" s="28"/>
      <c r="C38" s="28">
        <v>0</v>
      </c>
      <c r="D38" s="28">
        <v>0</v>
      </c>
      <c r="E38" s="89">
        <v>-503</v>
      </c>
    </row>
    <row r="39" spans="1:5" x14ac:dyDescent="0.3">
      <c r="A39" s="88" t="s">
        <v>19</v>
      </c>
      <c r="B39" s="28"/>
      <c r="C39" s="28">
        <v>0</v>
      </c>
      <c r="D39" s="39">
        <v>6300</v>
      </c>
      <c r="E39" s="90">
        <v>2030</v>
      </c>
    </row>
    <row r="40" spans="1:5" x14ac:dyDescent="0.3">
      <c r="A40" s="85" t="s">
        <v>20</v>
      </c>
      <c r="B40" s="22"/>
      <c r="C40" s="22">
        <v>0</v>
      </c>
      <c r="D40" s="86">
        <v>-43</v>
      </c>
      <c r="E40" s="87">
        <v>-25</v>
      </c>
    </row>
    <row r="41" spans="1:5" x14ac:dyDescent="0.3">
      <c r="A41" s="88" t="s">
        <v>21</v>
      </c>
      <c r="B41" s="28"/>
      <c r="C41" s="28">
        <v>0</v>
      </c>
      <c r="D41" s="91">
        <v>-1000</v>
      </c>
      <c r="E41" s="92">
        <v>0</v>
      </c>
    </row>
    <row r="42" spans="1:5" x14ac:dyDescent="0.3">
      <c r="A42" s="53"/>
      <c r="E42" s="55"/>
    </row>
    <row r="43" spans="1:5" x14ac:dyDescent="0.3">
      <c r="A43" s="93" t="s">
        <v>22</v>
      </c>
      <c r="B43" s="94"/>
      <c r="C43" s="94">
        <v>0</v>
      </c>
      <c r="D43" s="95">
        <v>-260</v>
      </c>
      <c r="E43" s="96">
        <v>-393</v>
      </c>
    </row>
    <row r="44" spans="1:5" x14ac:dyDescent="0.3">
      <c r="A44" s="97" t="s">
        <v>23</v>
      </c>
      <c r="B44" s="43"/>
      <c r="C44" s="43">
        <v>0</v>
      </c>
      <c r="D44" s="43">
        <v>0</v>
      </c>
      <c r="E44" s="98">
        <v>-725</v>
      </c>
    </row>
    <row r="45" spans="1:5" x14ac:dyDescent="0.3">
      <c r="A45" s="74" t="s">
        <v>24</v>
      </c>
      <c r="B45" s="75"/>
      <c r="C45" s="76">
        <v>-163</v>
      </c>
      <c r="D45" s="76">
        <v>-149</v>
      </c>
      <c r="E45" s="77">
        <v>-155</v>
      </c>
    </row>
    <row r="46" spans="1:5" x14ac:dyDescent="0.3">
      <c r="A46" s="99" t="s">
        <v>25</v>
      </c>
      <c r="B46" s="100"/>
      <c r="C46" s="101">
        <v>-972</v>
      </c>
      <c r="D46" s="101">
        <v>-6330</v>
      </c>
      <c r="E46" s="102">
        <v>0</v>
      </c>
    </row>
    <row r="47" spans="1:5" x14ac:dyDescent="0.3">
      <c r="A47" s="99" t="s">
        <v>26</v>
      </c>
      <c r="B47" s="100"/>
      <c r="C47" s="101">
        <v>-4</v>
      </c>
      <c r="D47" s="101">
        <v>-9</v>
      </c>
      <c r="E47" s="103">
        <v>-19</v>
      </c>
    </row>
    <row r="48" spans="1:5" ht="15" thickBot="1" x14ac:dyDescent="0.35">
      <c r="A48" s="57" t="s">
        <v>17</v>
      </c>
      <c r="B48" s="58"/>
      <c r="C48" s="72">
        <v>-1133</v>
      </c>
      <c r="D48" s="72">
        <v>-844</v>
      </c>
      <c r="E48" s="60">
        <v>58</v>
      </c>
    </row>
    <row r="50" spans="1:5" x14ac:dyDescent="0.3">
      <c r="A50" t="s">
        <v>99</v>
      </c>
      <c r="C50" s="8">
        <v>-20</v>
      </c>
      <c r="D50" s="7">
        <v>59</v>
      </c>
      <c r="E50" s="12">
        <v>-43</v>
      </c>
    </row>
    <row r="51" spans="1:5" x14ac:dyDescent="0.3">
      <c r="A51" t="s">
        <v>100</v>
      </c>
      <c r="C51" s="7">
        <v>113</v>
      </c>
      <c r="D51" s="7">
        <v>342</v>
      </c>
      <c r="E51" s="3">
        <v>1676</v>
      </c>
    </row>
    <row r="52" spans="1:5" x14ac:dyDescent="0.3">
      <c r="A52" t="s">
        <v>101</v>
      </c>
      <c r="C52" s="7">
        <v>1346</v>
      </c>
      <c r="D52" s="7">
        <v>1459</v>
      </c>
      <c r="E52" s="3">
        <v>1801</v>
      </c>
    </row>
    <row r="53" spans="1:5" x14ac:dyDescent="0.3">
      <c r="A53" t="s">
        <v>102</v>
      </c>
      <c r="C53" s="7">
        <v>1459</v>
      </c>
      <c r="D53" s="7">
        <v>1801</v>
      </c>
      <c r="E53" s="3">
        <v>3477</v>
      </c>
    </row>
    <row r="54" spans="1:5" x14ac:dyDescent="0.3">
      <c r="A54" t="s">
        <v>103</v>
      </c>
      <c r="C54" s="7">
        <v>13</v>
      </c>
      <c r="D54" s="7">
        <v>19</v>
      </c>
      <c r="E54" s="3">
        <v>1912</v>
      </c>
    </row>
    <row r="55" spans="1:5" x14ac:dyDescent="0.3">
      <c r="A55" t="s">
        <v>104</v>
      </c>
      <c r="C55" s="6">
        <v>1446</v>
      </c>
      <c r="D55" s="6">
        <v>1782</v>
      </c>
      <c r="E55" s="2">
        <v>1565</v>
      </c>
    </row>
    <row r="56" spans="1:5" x14ac:dyDescent="0.3">
      <c r="A56" s="13" t="s">
        <v>105</v>
      </c>
      <c r="B56" s="13"/>
    </row>
    <row r="57" spans="1:5" x14ac:dyDescent="0.3">
      <c r="A57" t="s">
        <v>106</v>
      </c>
      <c r="C57" s="6">
        <v>18</v>
      </c>
      <c r="D57" s="6">
        <v>81</v>
      </c>
      <c r="E57" s="2">
        <v>129</v>
      </c>
    </row>
    <row r="58" spans="1:5" x14ac:dyDescent="0.3">
      <c r="A58" t="s">
        <v>107</v>
      </c>
      <c r="C58" s="7">
        <v>632</v>
      </c>
      <c r="D58" s="7">
        <v>561</v>
      </c>
      <c r="E58" s="3">
        <v>552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2B1A-D47D-4EF4-92DF-9EE13B74EFF4}">
  <dimension ref="A1:K111"/>
  <sheetViews>
    <sheetView showGridLines="0" tabSelected="1" zoomScale="127" zoomScaleNormal="115" workbookViewId="0">
      <pane ySplit="1" topLeftCell="A79" activePane="bottomLeft" state="frozen"/>
      <selection pane="bottomLeft" activeCell="G97" sqref="G97"/>
    </sheetView>
  </sheetViews>
  <sheetFormatPr defaultRowHeight="15" customHeight="1" x14ac:dyDescent="0.3"/>
  <cols>
    <col min="1" max="1" width="2" customWidth="1"/>
    <col min="2" max="2" width="33.5546875" customWidth="1"/>
    <col min="3" max="3" width="2.44140625" customWidth="1"/>
    <col min="4" max="4" width="12.6640625" bestFit="1" customWidth="1"/>
    <col min="5" max="6" width="12.33203125" bestFit="1" customWidth="1"/>
    <col min="7" max="7" width="14" bestFit="1" customWidth="1"/>
    <col min="8" max="8" width="12.88671875" bestFit="1" customWidth="1"/>
    <col min="9" max="11" width="12.33203125" bestFit="1" customWidth="1"/>
  </cols>
  <sheetData>
    <row r="1" spans="2:11" ht="15" customHeight="1" x14ac:dyDescent="0.3">
      <c r="B1" s="19" t="s">
        <v>109</v>
      </c>
      <c r="C1" s="19"/>
      <c r="D1" s="20">
        <v>2019</v>
      </c>
      <c r="E1" s="20">
        <f>D1+1</f>
        <v>2020</v>
      </c>
      <c r="F1" s="20">
        <f t="shared" ref="F1:K1" si="0">E1+1</f>
        <v>2021</v>
      </c>
      <c r="G1" s="20">
        <f t="shared" si="0"/>
        <v>2022</v>
      </c>
      <c r="H1" s="20">
        <f t="shared" si="0"/>
        <v>2023</v>
      </c>
      <c r="I1" s="20">
        <f t="shared" si="0"/>
        <v>2024</v>
      </c>
      <c r="J1" s="20">
        <f t="shared" si="0"/>
        <v>2025</v>
      </c>
      <c r="K1" s="20">
        <f t="shared" si="0"/>
        <v>2026</v>
      </c>
    </row>
    <row r="3" spans="2:11" ht="15" customHeight="1" x14ac:dyDescent="0.3">
      <c r="B3" t="s">
        <v>150</v>
      </c>
      <c r="D3">
        <f>D40/D5</f>
        <v>35300</v>
      </c>
      <c r="E3">
        <f t="shared" ref="E3:F3" si="1">E40/E5</f>
        <v>31594.117647058822</v>
      </c>
      <c r="F3">
        <f t="shared" si="1"/>
        <v>35711.111111111109</v>
      </c>
      <c r="G3">
        <f>F3*(1+G4)</f>
        <v>37496.666666666664</v>
      </c>
      <c r="H3">
        <f t="shared" ref="H3:K3" si="2">G3*(1+H4)</f>
        <v>39371.5</v>
      </c>
      <c r="I3">
        <f t="shared" si="2"/>
        <v>41340.075000000004</v>
      </c>
      <c r="J3">
        <f t="shared" si="2"/>
        <v>43407.078750000008</v>
      </c>
      <c r="K3">
        <f t="shared" si="2"/>
        <v>45577.432687500012</v>
      </c>
    </row>
    <row r="4" spans="2:11" ht="15" customHeight="1" x14ac:dyDescent="0.3">
      <c r="B4" t="s">
        <v>151</v>
      </c>
      <c r="D4" s="104"/>
      <c r="E4" s="105">
        <f>E3/D3-1</f>
        <v>-0.10498250291618072</v>
      </c>
      <c r="F4" s="105">
        <f>F3/E3-1</f>
        <v>0.13030886034051181</v>
      </c>
      <c r="G4" s="107">
        <v>0.05</v>
      </c>
      <c r="H4" s="107">
        <v>0.05</v>
      </c>
      <c r="I4" s="107">
        <v>0.05</v>
      </c>
      <c r="J4" s="107">
        <v>0.05</v>
      </c>
      <c r="K4" s="107">
        <v>0.05</v>
      </c>
    </row>
    <row r="5" spans="2:11" ht="15" customHeight="1" x14ac:dyDescent="0.3">
      <c r="B5" t="s">
        <v>149</v>
      </c>
      <c r="D5" s="106">
        <v>0.16</v>
      </c>
      <c r="E5" s="106">
        <v>0.17</v>
      </c>
      <c r="F5" s="106">
        <v>0.18</v>
      </c>
      <c r="G5" s="106">
        <f>F5</f>
        <v>0.18</v>
      </c>
      <c r="H5" s="106">
        <f>G5</f>
        <v>0.18</v>
      </c>
      <c r="I5" s="106">
        <v>0.182</v>
      </c>
      <c r="J5" s="106">
        <v>0.184</v>
      </c>
      <c r="K5" s="106">
        <v>0.186</v>
      </c>
    </row>
    <row r="7" spans="2:11" ht="15" customHeight="1" x14ac:dyDescent="0.3">
      <c r="B7" t="s">
        <v>152</v>
      </c>
      <c r="D7" s="109">
        <v>2</v>
      </c>
      <c r="E7" s="109">
        <v>2.1</v>
      </c>
      <c r="F7" s="109">
        <v>2.15</v>
      </c>
      <c r="G7">
        <f>F7*(1+G8)</f>
        <v>2.2145000000000001</v>
      </c>
      <c r="H7">
        <f t="shared" ref="H7:K7" si="3">G7*(1+H8)</f>
        <v>2.2809350000000004</v>
      </c>
      <c r="I7">
        <f t="shared" si="3"/>
        <v>2.3516439850000004</v>
      </c>
      <c r="J7">
        <f t="shared" si="3"/>
        <v>2.4268965925200003</v>
      </c>
      <c r="K7">
        <f t="shared" si="3"/>
        <v>2.50698418007316</v>
      </c>
    </row>
    <row r="8" spans="2:11" ht="15" customHeight="1" x14ac:dyDescent="0.3">
      <c r="E8" s="108">
        <f>E7/D7-1</f>
        <v>5.0000000000000044E-2</v>
      </c>
      <c r="F8" s="108">
        <f>F7/E7-1</f>
        <v>2.3809523809523725E-2</v>
      </c>
      <c r="G8" s="107">
        <v>0.03</v>
      </c>
      <c r="H8" s="107">
        <v>0.03</v>
      </c>
      <c r="I8" s="106">
        <v>3.1E-2</v>
      </c>
      <c r="J8" s="106">
        <v>3.2000000000000001E-2</v>
      </c>
      <c r="K8" s="106">
        <v>3.3000000000000002E-2</v>
      </c>
    </row>
    <row r="10" spans="2:11" ht="15" customHeight="1" x14ac:dyDescent="0.3">
      <c r="B10" t="s">
        <v>153</v>
      </c>
      <c r="D10">
        <f>D41/D7</f>
        <v>3735</v>
      </c>
      <c r="E10">
        <f t="shared" ref="E10:F10" si="4">E41/E7</f>
        <v>3516.6666666666665</v>
      </c>
      <c r="F10">
        <f t="shared" si="4"/>
        <v>3660.4651162790701</v>
      </c>
      <c r="G10">
        <f>F10*(1+G11)</f>
        <v>3806.8837209302333</v>
      </c>
      <c r="H10">
        <f t="shared" ref="H10:K10" si="5">G10*(1+H11)</f>
        <v>3940.124651162791</v>
      </c>
      <c r="I10">
        <f t="shared" si="5"/>
        <v>4078.0290139534882</v>
      </c>
      <c r="J10">
        <f t="shared" si="5"/>
        <v>4220.7600294418598</v>
      </c>
      <c r="K10">
        <f t="shared" si="5"/>
        <v>4368.4866304723246</v>
      </c>
    </row>
    <row r="11" spans="2:11" ht="15" customHeight="1" x14ac:dyDescent="0.3">
      <c r="B11" s="109"/>
      <c r="E11" s="105">
        <f>E10/D10-1</f>
        <v>-5.8456046407853623E-2</v>
      </c>
      <c r="F11" s="105">
        <f>F10/E10-1</f>
        <v>4.0890554392152723E-2</v>
      </c>
      <c r="G11" s="107">
        <v>0.04</v>
      </c>
      <c r="H11" s="106">
        <v>3.5000000000000003E-2</v>
      </c>
      <c r="I11" s="106">
        <f>H11</f>
        <v>3.5000000000000003E-2</v>
      </c>
      <c r="J11" s="106">
        <f t="shared" ref="J11:K11" si="6">I11</f>
        <v>3.5000000000000003E-2</v>
      </c>
      <c r="K11" s="106">
        <f t="shared" si="6"/>
        <v>3.5000000000000003E-2</v>
      </c>
    </row>
    <row r="12" spans="2:11" ht="15" customHeight="1" x14ac:dyDescent="0.3">
      <c r="B12" t="s">
        <v>154</v>
      </c>
      <c r="D12" s="105">
        <f>D44/D40</f>
        <v>-0.82152974504249288</v>
      </c>
      <c r="E12" s="105">
        <f t="shared" ref="E12:F12" si="7">E44/E40</f>
        <v>-0.82647551666356356</v>
      </c>
      <c r="F12" s="105">
        <f t="shared" si="7"/>
        <v>-0.82342874922215303</v>
      </c>
      <c r="G12" s="110">
        <f t="shared" ref="G12:G16" si="8">AVERAGE(D12:F12)</f>
        <v>-0.82381133697606979</v>
      </c>
      <c r="H12" s="105">
        <f t="shared" ref="H12:H17" si="9">G12</f>
        <v>-0.82381133697606979</v>
      </c>
      <c r="I12" s="105">
        <f t="shared" ref="I12:K16" si="10">H12</f>
        <v>-0.82381133697606979</v>
      </c>
      <c r="J12" s="105">
        <f t="shared" si="10"/>
        <v>-0.82381133697606979</v>
      </c>
      <c r="K12" s="105">
        <f t="shared" si="10"/>
        <v>-0.82381133697606979</v>
      </c>
    </row>
    <row r="13" spans="2:11" ht="15" customHeight="1" x14ac:dyDescent="0.3">
      <c r="B13" t="s">
        <v>155</v>
      </c>
      <c r="D13" s="105">
        <f>D45/D41</f>
        <v>-0.62275769745649268</v>
      </c>
      <c r="E13" s="105">
        <f t="shared" ref="E13:F13" si="11">E45/E41</f>
        <v>-0.61448882870683819</v>
      </c>
      <c r="F13" s="105">
        <f t="shared" si="11"/>
        <v>-0.61143583227445997</v>
      </c>
      <c r="G13" s="110">
        <f t="shared" si="8"/>
        <v>-0.61622745281259694</v>
      </c>
      <c r="H13" s="105">
        <f t="shared" si="9"/>
        <v>-0.61622745281259694</v>
      </c>
      <c r="I13" s="105">
        <f t="shared" si="10"/>
        <v>-0.61622745281259694</v>
      </c>
      <c r="J13" s="105">
        <f t="shared" si="10"/>
        <v>-0.61622745281259694</v>
      </c>
      <c r="K13" s="105">
        <f t="shared" si="10"/>
        <v>-0.61622745281259694</v>
      </c>
    </row>
    <row r="14" spans="2:11" ht="15" customHeight="1" x14ac:dyDescent="0.3">
      <c r="B14" s="15" t="s">
        <v>156</v>
      </c>
      <c r="D14" s="105">
        <f>D48/D42</f>
        <v>-0.15040402500381156</v>
      </c>
      <c r="E14" s="105">
        <f t="shared" ref="E14:F14" si="12">E48/E42</f>
        <v>-0.16274694261523989</v>
      </c>
      <c r="F14" s="105">
        <f t="shared" si="12"/>
        <v>-0.1473632675898727</v>
      </c>
      <c r="G14" s="110">
        <f t="shared" si="8"/>
        <v>-0.1535047450696414</v>
      </c>
      <c r="H14" s="105">
        <f t="shared" si="9"/>
        <v>-0.1535047450696414</v>
      </c>
      <c r="I14" s="105">
        <f t="shared" si="10"/>
        <v>-0.1535047450696414</v>
      </c>
      <c r="J14" s="105">
        <f t="shared" si="10"/>
        <v>-0.1535047450696414</v>
      </c>
      <c r="K14" s="105">
        <f t="shared" si="10"/>
        <v>-0.1535047450696414</v>
      </c>
    </row>
    <row r="15" spans="2:11" ht="15" customHeight="1" x14ac:dyDescent="0.3">
      <c r="B15" t="s">
        <v>158</v>
      </c>
      <c r="D15" s="105">
        <f>D58/D56</f>
        <v>-0.31918323481998923</v>
      </c>
      <c r="E15" s="105">
        <f t="shared" ref="E15:F15" si="13">E58/E56</f>
        <v>-0.3011250827266711</v>
      </c>
      <c r="F15" s="105">
        <f t="shared" si="13"/>
        <v>-0.27587965323814378</v>
      </c>
      <c r="G15" s="110">
        <f t="shared" si="8"/>
        <v>-0.2987293235949347</v>
      </c>
      <c r="H15" s="105">
        <f t="shared" si="9"/>
        <v>-0.2987293235949347</v>
      </c>
      <c r="I15" s="105">
        <f t="shared" si="10"/>
        <v>-0.2987293235949347</v>
      </c>
      <c r="J15" s="105">
        <f t="shared" si="10"/>
        <v>-0.2987293235949347</v>
      </c>
      <c r="K15" s="105">
        <f t="shared" si="10"/>
        <v>-0.2987293235949347</v>
      </c>
    </row>
    <row r="16" spans="2:11" ht="15" customHeight="1" x14ac:dyDescent="0.3">
      <c r="B16" t="s">
        <v>159</v>
      </c>
      <c r="D16" s="105">
        <f>D61/D59</f>
        <v>-0.11917916337805841</v>
      </c>
      <c r="E16" s="105">
        <f t="shared" ref="E16:F16" si="14">E61/E59</f>
        <v>-0.14204545454545456</v>
      </c>
      <c r="F16" s="105">
        <f t="shared" si="14"/>
        <v>-0.12253521126760564</v>
      </c>
      <c r="G16" s="110">
        <f t="shared" si="8"/>
        <v>-0.12791994306370622</v>
      </c>
      <c r="H16" s="105">
        <f t="shared" si="9"/>
        <v>-0.12791994306370622</v>
      </c>
      <c r="I16" s="105">
        <f t="shared" si="10"/>
        <v>-0.12791994306370622</v>
      </c>
      <c r="J16" s="105">
        <f t="shared" si="10"/>
        <v>-0.12791994306370622</v>
      </c>
      <c r="K16" s="105">
        <f t="shared" si="10"/>
        <v>-0.12791994306370622</v>
      </c>
    </row>
    <row r="17" spans="2:11" ht="15" customHeight="1" x14ac:dyDescent="0.3">
      <c r="B17" t="s">
        <v>175</v>
      </c>
      <c r="D17" s="105"/>
      <c r="E17" s="105">
        <f>E55/E79</f>
        <v>-2.0459500251551233E-2</v>
      </c>
      <c r="F17" s="105">
        <f>F55/F79</f>
        <v>-1.8699298776295888E-2</v>
      </c>
      <c r="G17" s="110">
        <f>AVERAGE(D17:F17)</f>
        <v>-1.9579399513923561E-2</v>
      </c>
      <c r="H17" s="105">
        <f t="shared" si="9"/>
        <v>-1.9579399513923561E-2</v>
      </c>
      <c r="I17" s="105">
        <f t="shared" ref="I17" si="15">H17</f>
        <v>-1.9579399513923561E-2</v>
      </c>
      <c r="J17" s="105">
        <f t="shared" ref="J17" si="16">I17</f>
        <v>-1.9579399513923561E-2</v>
      </c>
      <c r="K17" s="105">
        <f t="shared" ref="K17" si="17">J17</f>
        <v>-1.9579399513923561E-2</v>
      </c>
    </row>
    <row r="18" spans="2:11" ht="15" customHeight="1" x14ac:dyDescent="0.3">
      <c r="D18" s="105"/>
      <c r="E18" s="105"/>
      <c r="F18" s="105"/>
      <c r="G18" s="110"/>
      <c r="H18" s="105"/>
      <c r="I18" s="105"/>
      <c r="J18" s="105"/>
      <c r="K18" s="105"/>
    </row>
    <row r="19" spans="2:11" ht="15" customHeight="1" x14ac:dyDescent="0.3">
      <c r="B19" t="s">
        <v>167</v>
      </c>
      <c r="D19" s="111"/>
      <c r="E19" s="111">
        <f>E44+E45+E48</f>
        <v>-11053</v>
      </c>
      <c r="F19" s="111">
        <f t="shared" ref="F19:K19" si="18">F44+F45+F48</f>
        <v>-12212</v>
      </c>
      <c r="G19" s="111">
        <f t="shared" si="18"/>
        <v>-13085.404380182667</v>
      </c>
      <c r="H19" s="111">
        <f t="shared" si="18"/>
        <v>-13843.824770008972</v>
      </c>
      <c r="I19" s="111">
        <f t="shared" si="18"/>
        <v>-14735.009771063831</v>
      </c>
      <c r="J19" s="111">
        <f t="shared" si="18"/>
        <v>-15690.363121523609</v>
      </c>
      <c r="K19" s="111">
        <f t="shared" si="18"/>
        <v>-16714.998574466696</v>
      </c>
    </row>
    <row r="20" spans="2:11" ht="15" customHeight="1" x14ac:dyDescent="0.3">
      <c r="B20" t="s">
        <v>160</v>
      </c>
      <c r="E20" s="104">
        <f>E68/E42</f>
        <v>0.24678582627783005</v>
      </c>
      <c r="F20" s="104">
        <f>F68/F42</f>
        <v>0.22604560078332633</v>
      </c>
      <c r="G20" s="110">
        <f>AVERAGE(E20:F20)</f>
        <v>0.23641571353057819</v>
      </c>
      <c r="H20" s="104">
        <f>G20</f>
        <v>0.23641571353057819</v>
      </c>
      <c r="I20" s="104">
        <f t="shared" ref="I20:K20" si="19">H20</f>
        <v>0.23641571353057819</v>
      </c>
      <c r="J20" s="104">
        <f t="shared" si="19"/>
        <v>0.23641571353057819</v>
      </c>
      <c r="K20" s="104">
        <f t="shared" si="19"/>
        <v>0.23641571353057819</v>
      </c>
    </row>
    <row r="21" spans="2:11" ht="15" customHeight="1" x14ac:dyDescent="0.3">
      <c r="B21" t="s">
        <v>161</v>
      </c>
      <c r="E21" s="104">
        <f>E76/SUM(E44:E45)</f>
        <v>-0.1618580817645093</v>
      </c>
      <c r="F21" s="104">
        <f>F76/SUM(F44:F45)</f>
        <v>-0.15398317664522512</v>
      </c>
      <c r="G21" s="110">
        <f t="shared" ref="G21:G23" si="20">AVERAGE(E21:F21)</f>
        <v>-0.15792062920486721</v>
      </c>
      <c r="H21" s="104">
        <f t="shared" ref="H21:K23" si="21">G21</f>
        <v>-0.15792062920486721</v>
      </c>
      <c r="I21" s="104">
        <f t="shared" si="21"/>
        <v>-0.15792062920486721</v>
      </c>
      <c r="J21" s="104">
        <f t="shared" si="21"/>
        <v>-0.15792062920486721</v>
      </c>
      <c r="K21" s="104">
        <f t="shared" si="21"/>
        <v>-0.15792062920486721</v>
      </c>
    </row>
    <row r="22" spans="2:11" ht="15" customHeight="1" x14ac:dyDescent="0.3">
      <c r="B22" t="s">
        <v>162</v>
      </c>
      <c r="E22" s="104">
        <f>E77/SUM(E44:E45,E48)</f>
        <v>-0.1788654663892156</v>
      </c>
      <c r="F22" s="104">
        <f>F77/SUM(F44:F45,F48)</f>
        <v>-0.16320013101867015</v>
      </c>
      <c r="G22" s="110">
        <f t="shared" si="20"/>
        <v>-0.17103279870394289</v>
      </c>
      <c r="H22" s="104">
        <f t="shared" si="21"/>
        <v>-0.17103279870394289</v>
      </c>
      <c r="I22" s="104">
        <f t="shared" si="21"/>
        <v>-0.17103279870394289</v>
      </c>
      <c r="J22" s="104">
        <f t="shared" si="21"/>
        <v>-0.17103279870394289</v>
      </c>
      <c r="K22" s="104">
        <f t="shared" si="21"/>
        <v>-0.17103279870394289</v>
      </c>
    </row>
    <row r="23" spans="2:11" ht="15" customHeight="1" x14ac:dyDescent="0.3">
      <c r="B23" t="s">
        <v>163</v>
      </c>
      <c r="E23" s="104">
        <f>E78/SUM(E44:E45,E48)</f>
        <v>-0.22998281009680629</v>
      </c>
      <c r="F23" s="104">
        <f>F78/SUM(F44:F45,F48)</f>
        <v>-0.21896495250573206</v>
      </c>
      <c r="G23" s="110">
        <f t="shared" si="20"/>
        <v>-0.22447388130126916</v>
      </c>
      <c r="H23" s="104">
        <f t="shared" si="21"/>
        <v>-0.22447388130126916</v>
      </c>
      <c r="I23" s="104">
        <f t="shared" si="21"/>
        <v>-0.22447388130126916</v>
      </c>
      <c r="J23" s="104">
        <f t="shared" si="21"/>
        <v>-0.22447388130126916</v>
      </c>
      <c r="K23" s="104">
        <f t="shared" si="21"/>
        <v>-0.22447388130126916</v>
      </c>
    </row>
    <row r="24" spans="2:11" ht="15" customHeight="1" x14ac:dyDescent="0.3">
      <c r="B24" t="s">
        <v>164</v>
      </c>
      <c r="E24" s="104">
        <f>E69/SUM(E44:E45)</f>
        <v>-0.1722178901637518</v>
      </c>
      <c r="F24" s="104">
        <f>F69/SUM(F44:F45)</f>
        <v>-0.15378525482434438</v>
      </c>
      <c r="G24" s="110">
        <f t="shared" ref="G24:G26" si="22">AVERAGE(E24:F24)</f>
        <v>-0.16300157249404809</v>
      </c>
      <c r="H24" s="104">
        <f t="shared" ref="H24:K24" si="23">G24</f>
        <v>-0.16300157249404809</v>
      </c>
      <c r="I24" s="104">
        <f t="shared" si="23"/>
        <v>-0.16300157249404809</v>
      </c>
      <c r="J24" s="104">
        <f t="shared" si="23"/>
        <v>-0.16300157249404809</v>
      </c>
      <c r="K24" s="104">
        <f t="shared" si="23"/>
        <v>-0.16300157249404809</v>
      </c>
    </row>
    <row r="25" spans="2:11" ht="15" customHeight="1" x14ac:dyDescent="0.3">
      <c r="B25" t="s">
        <v>165</v>
      </c>
      <c r="E25" s="104">
        <f>E71/E48</f>
        <v>-0.26107899807321772</v>
      </c>
      <c r="F25" s="104">
        <f>F71/F48</f>
        <v>-0.24964404366397722</v>
      </c>
      <c r="G25" s="110">
        <f t="shared" si="22"/>
        <v>-0.25536152086859748</v>
      </c>
      <c r="H25" s="104">
        <f t="shared" ref="H25:K25" si="24">G25</f>
        <v>-0.25536152086859748</v>
      </c>
      <c r="I25" s="104">
        <f t="shared" si="24"/>
        <v>-0.25536152086859748</v>
      </c>
      <c r="J25" s="104">
        <f t="shared" si="24"/>
        <v>-0.25536152086859748</v>
      </c>
      <c r="K25" s="104">
        <f t="shared" si="24"/>
        <v>-0.25536152086859748</v>
      </c>
    </row>
    <row r="26" spans="2:11" ht="15" customHeight="1" x14ac:dyDescent="0.3">
      <c r="B26" t="s">
        <v>166</v>
      </c>
      <c r="E26" s="104">
        <f>E81/E19</f>
        <v>-0.14557133809825387</v>
      </c>
      <c r="F26" s="104">
        <f>F81/F19</f>
        <v>-0.11717982312479529</v>
      </c>
      <c r="G26" s="110">
        <f t="shared" si="22"/>
        <v>-0.13137558061152457</v>
      </c>
      <c r="H26" s="104">
        <f t="shared" ref="H26:K26" si="25">G26</f>
        <v>-0.13137558061152457</v>
      </c>
      <c r="I26" s="104">
        <f t="shared" si="25"/>
        <v>-0.13137558061152457</v>
      </c>
      <c r="J26" s="104">
        <f t="shared" si="25"/>
        <v>-0.13137558061152457</v>
      </c>
      <c r="K26" s="104">
        <f t="shared" si="25"/>
        <v>-0.13137558061152457</v>
      </c>
    </row>
    <row r="28" spans="2:11" ht="15" customHeight="1" x14ac:dyDescent="0.3">
      <c r="B28" t="s">
        <v>168</v>
      </c>
      <c r="D28" s="112">
        <f>D94/D42</f>
        <v>1.3721603903033999E-2</v>
      </c>
      <c r="E28" s="112">
        <f t="shared" ref="E28:F28" si="26">E94/E42</f>
        <v>1.4973345876450299E-2</v>
      </c>
      <c r="F28" s="112">
        <f t="shared" si="26"/>
        <v>1.4197789900685411E-2</v>
      </c>
      <c r="G28" s="110">
        <f>AVERAGE(D28:F28)</f>
        <v>1.4297579893389903E-2</v>
      </c>
      <c r="H28" s="105">
        <f>G28</f>
        <v>1.4297579893389903E-2</v>
      </c>
      <c r="I28" s="105">
        <f t="shared" ref="I28" si="27">H28</f>
        <v>1.4297579893389903E-2</v>
      </c>
      <c r="J28" s="105">
        <f t="shared" ref="J28" si="28">I28</f>
        <v>1.4297579893389903E-2</v>
      </c>
      <c r="K28" s="105">
        <f t="shared" ref="K28" si="29">J28</f>
        <v>1.4297579893389903E-2</v>
      </c>
    </row>
    <row r="29" spans="2:11" ht="15" customHeight="1" x14ac:dyDescent="0.3">
      <c r="B29" t="s">
        <v>170</v>
      </c>
      <c r="D29" s="105">
        <f>D100/D42</f>
        <v>-1.1053514255221832E-2</v>
      </c>
      <c r="E29" s="105">
        <f t="shared" ref="E29:F29" si="30">E100/E42</f>
        <v>-1.4346190028222013E-2</v>
      </c>
      <c r="F29" s="105">
        <f t="shared" si="30"/>
        <v>-1.0910616869492237E-2</v>
      </c>
      <c r="G29" s="110">
        <f>AVERAGE(D29:F29)</f>
        <v>-1.2103440384312028E-2</v>
      </c>
      <c r="H29" s="105">
        <f>G29</f>
        <v>-1.2103440384312028E-2</v>
      </c>
      <c r="I29" s="105">
        <f t="shared" ref="I29" si="31">H29</f>
        <v>-1.2103440384312028E-2</v>
      </c>
      <c r="J29" s="105">
        <f t="shared" ref="J29" si="32">I29</f>
        <v>-1.2103440384312028E-2</v>
      </c>
      <c r="K29" s="105">
        <f t="shared" ref="K29" si="33">J29</f>
        <v>-1.2103440384312028E-2</v>
      </c>
    </row>
    <row r="30" spans="2:11" ht="15" customHeight="1" x14ac:dyDescent="0.3">
      <c r="B30" t="s">
        <v>173</v>
      </c>
      <c r="D30" s="104">
        <f>D97/D42</f>
        <v>4.1164811709102E-3</v>
      </c>
      <c r="E30" s="104">
        <f t="shared" ref="E30:F30" si="34">E97/E42</f>
        <v>1.2229539040451553E-2</v>
      </c>
      <c r="F30" s="104">
        <f t="shared" si="34"/>
        <v>-2.3080151070079733E-3</v>
      </c>
      <c r="G30" s="110">
        <f>AVERAGE(D30:F30)</f>
        <v>4.6793350347845934E-3</v>
      </c>
      <c r="H30" s="105">
        <f>G30</f>
        <v>4.6793350347845934E-3</v>
      </c>
      <c r="I30" s="105">
        <f t="shared" ref="I30:I31" si="35">H30</f>
        <v>4.6793350347845934E-3</v>
      </c>
      <c r="J30" s="105">
        <f t="shared" ref="J30:J31" si="36">I30</f>
        <v>4.6793350347845934E-3</v>
      </c>
      <c r="K30" s="105">
        <f t="shared" ref="K30:K31" si="37">J30</f>
        <v>4.6793350347845934E-3</v>
      </c>
    </row>
    <row r="31" spans="2:11" ht="15" customHeight="1" x14ac:dyDescent="0.3">
      <c r="B31" t="s">
        <v>174</v>
      </c>
      <c r="E31">
        <f>E79</f>
        <v>5963</v>
      </c>
      <c r="F31">
        <f>F79</f>
        <v>7273</v>
      </c>
      <c r="G31" s="116">
        <f>F31</f>
        <v>7273</v>
      </c>
      <c r="H31" s="116">
        <f t="shared" ref="H31" si="38">G31</f>
        <v>7273</v>
      </c>
      <c r="I31" s="116">
        <f t="shared" si="35"/>
        <v>7273</v>
      </c>
      <c r="J31" s="116">
        <f t="shared" si="36"/>
        <v>7273</v>
      </c>
      <c r="K31" s="116">
        <f t="shared" si="37"/>
        <v>7273</v>
      </c>
    </row>
    <row r="32" spans="2:11" ht="15" customHeight="1" x14ac:dyDescent="0.3">
      <c r="B32" t="s">
        <v>176</v>
      </c>
      <c r="D32" s="104">
        <f>D105/D59</f>
        <v>0</v>
      </c>
      <c r="E32" s="104">
        <f t="shared" ref="E32:F32" si="39">E105/E59</f>
        <v>-0.24621212121212122</v>
      </c>
      <c r="F32" s="104">
        <f t="shared" si="39"/>
        <v>-0.27676056338028171</v>
      </c>
      <c r="G32" s="110">
        <f>AVERAGE(D32:F32)</f>
        <v>-0.17432422819746765</v>
      </c>
      <c r="H32" s="110">
        <f t="shared" ref="H32:K32" si="40">AVERAGE(E32:G32)</f>
        <v>-0.2324323042632902</v>
      </c>
      <c r="I32" s="110">
        <f t="shared" si="40"/>
        <v>-0.22783903194701319</v>
      </c>
      <c r="J32" s="110">
        <f t="shared" si="40"/>
        <v>-0.21153185480259032</v>
      </c>
      <c r="K32" s="110">
        <f t="shared" si="40"/>
        <v>-0.22393439700429787</v>
      </c>
    </row>
    <row r="33" spans="2:11" ht="15" customHeight="1" x14ac:dyDescent="0.3">
      <c r="B33" t="s">
        <v>178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</row>
    <row r="34" spans="2:11" ht="15" customHeight="1" x14ac:dyDescent="0.3">
      <c r="B34" t="s">
        <v>177</v>
      </c>
      <c r="D34" s="104">
        <f>D107/D61</f>
        <v>1.0794701986754967</v>
      </c>
      <c r="E34" s="104">
        <f t="shared" ref="E34:F34" si="41">E107/E61</f>
        <v>0.99333333333333329</v>
      </c>
      <c r="F34" s="104">
        <f t="shared" si="41"/>
        <v>0.89080459770114939</v>
      </c>
      <c r="G34" s="110">
        <f>AVERAGE(D34:F34)</f>
        <v>0.98786937656999319</v>
      </c>
      <c r="H34" s="105">
        <f>G34</f>
        <v>0.98786937656999319</v>
      </c>
      <c r="I34" s="105">
        <f t="shared" ref="I34:I35" si="42">H34</f>
        <v>0.98786937656999319</v>
      </c>
      <c r="J34" s="105">
        <f t="shared" ref="J34:J35" si="43">I34</f>
        <v>0.98786937656999319</v>
      </c>
      <c r="K34" s="105">
        <f t="shared" ref="K34:K35" si="44">J34</f>
        <v>0.98786937656999319</v>
      </c>
    </row>
    <row r="35" spans="2:11" ht="15" customHeight="1" x14ac:dyDescent="0.3">
      <c r="B35" t="s">
        <v>179</v>
      </c>
      <c r="D35" s="104">
        <f>D110/D42</f>
        <v>-1.5246226558926666E-3</v>
      </c>
      <c r="E35" s="104">
        <f t="shared" ref="E35:F35" si="45">E110/E42</f>
        <v>4.6252743806835996E-3</v>
      </c>
      <c r="F35" s="104">
        <f t="shared" si="45"/>
        <v>-3.0074136242831165E-3</v>
      </c>
      <c r="G35" s="110">
        <f>AVERAGE(D35:F35)</f>
        <v>3.1079366835938916E-5</v>
      </c>
      <c r="H35" s="105">
        <f>G35</f>
        <v>3.1079366835938916E-5</v>
      </c>
      <c r="I35" s="105">
        <f t="shared" si="42"/>
        <v>3.1079366835938916E-5</v>
      </c>
      <c r="J35" s="105">
        <f t="shared" si="43"/>
        <v>3.1079366835938916E-5</v>
      </c>
      <c r="K35" s="105">
        <f t="shared" si="44"/>
        <v>3.1079366835938916E-5</v>
      </c>
    </row>
    <row r="36" spans="2:11" ht="15" customHeight="1" x14ac:dyDescent="0.3">
      <c r="B36" t="s">
        <v>180</v>
      </c>
      <c r="D36" s="104"/>
      <c r="E36" s="104"/>
      <c r="F36" s="104"/>
      <c r="G36" s="110">
        <v>0</v>
      </c>
      <c r="H36" s="105">
        <v>0</v>
      </c>
      <c r="I36" s="105">
        <v>0</v>
      </c>
      <c r="J36" s="105">
        <v>0</v>
      </c>
      <c r="K36" s="105">
        <v>0</v>
      </c>
    </row>
    <row r="38" spans="2:11" ht="15" customHeight="1" x14ac:dyDescent="0.3">
      <c r="B38" s="18" t="s">
        <v>108</v>
      </c>
      <c r="C38" s="14"/>
      <c r="D38" s="14"/>
      <c r="E38" s="14"/>
      <c r="F38" s="14"/>
      <c r="G38" s="14"/>
      <c r="H38" s="14"/>
      <c r="I38" s="14"/>
      <c r="J38" s="14"/>
      <c r="K38" s="14"/>
    </row>
    <row r="40" spans="2:11" ht="15" customHeight="1" x14ac:dyDescent="0.3">
      <c r="B40" t="str">
        <f>IS!A8</f>
        <v>Product sales</v>
      </c>
      <c r="D40" s="15">
        <f>IS!C8</f>
        <v>5648</v>
      </c>
      <c r="E40" s="15">
        <f>IS!D8</f>
        <v>5371</v>
      </c>
      <c r="F40" s="15">
        <f>IS!E8</f>
        <v>6428</v>
      </c>
      <c r="G40" s="15">
        <f>G3*G5</f>
        <v>6749.4</v>
      </c>
      <c r="H40" s="15">
        <f t="shared" ref="H40:K40" si="46">H3*H5</f>
        <v>7086.87</v>
      </c>
      <c r="I40" s="15">
        <f t="shared" si="46"/>
        <v>7523.8936500000009</v>
      </c>
      <c r="J40" s="15">
        <f t="shared" si="46"/>
        <v>7986.9024900000013</v>
      </c>
      <c r="K40" s="15">
        <f t="shared" si="46"/>
        <v>8477.4024798750015</v>
      </c>
    </row>
    <row r="41" spans="2:11" ht="15" customHeight="1" x14ac:dyDescent="0.3">
      <c r="B41" t="str">
        <f>IS!A9</f>
        <v>Service sales</v>
      </c>
      <c r="D41" s="15">
        <f>IS!C9</f>
        <v>7470</v>
      </c>
      <c r="E41" s="15">
        <f>IS!D9</f>
        <v>7385</v>
      </c>
      <c r="F41" s="15">
        <f>IS!E9</f>
        <v>7870</v>
      </c>
      <c r="G41" s="15">
        <f>G10*G7</f>
        <v>8430.3440000000028</v>
      </c>
      <c r="H41" s="15">
        <f t="shared" ref="H41:K41" si="47">H10*H7</f>
        <v>8987.1682212000014</v>
      </c>
      <c r="I41" s="15">
        <f t="shared" si="47"/>
        <v>9590.072401319203</v>
      </c>
      <c r="J41" s="15">
        <f t="shared" si="47"/>
        <v>10243.348133297066</v>
      </c>
      <c r="K41" s="15">
        <f t="shared" si="47"/>
        <v>10951.726873455222</v>
      </c>
    </row>
    <row r="42" spans="2:11" ht="15" customHeight="1" x14ac:dyDescent="0.3">
      <c r="B42" s="16" t="s">
        <v>110</v>
      </c>
      <c r="C42" s="16"/>
      <c r="D42" s="17">
        <f>SUM(D40:D41)</f>
        <v>13118</v>
      </c>
      <c r="E42" s="17">
        <f t="shared" ref="E42:K42" si="48">SUM(E40:E41)</f>
        <v>12756</v>
      </c>
      <c r="F42" s="17">
        <f t="shared" si="48"/>
        <v>14298</v>
      </c>
      <c r="G42" s="17">
        <f t="shared" si="48"/>
        <v>15179.744000000002</v>
      </c>
      <c r="H42" s="17">
        <f t="shared" si="48"/>
        <v>16074.0382212</v>
      </c>
      <c r="I42" s="17">
        <f t="shared" si="48"/>
        <v>17113.966051319203</v>
      </c>
      <c r="J42" s="17">
        <f t="shared" si="48"/>
        <v>18230.250623297066</v>
      </c>
      <c r="K42" s="17">
        <f t="shared" si="48"/>
        <v>19429.129353330223</v>
      </c>
    </row>
    <row r="44" spans="2:11" ht="15" customHeight="1" x14ac:dyDescent="0.3">
      <c r="B44" t="str">
        <f>IS!A12</f>
        <v>Cost of products sold</v>
      </c>
      <c r="D44" s="15">
        <f>-IS!C12</f>
        <v>-4640</v>
      </c>
      <c r="E44" s="15">
        <f>-IS!D12</f>
        <v>-4439</v>
      </c>
      <c r="F44" s="15">
        <f>-IS!E12</f>
        <v>-5293</v>
      </c>
      <c r="G44" s="15">
        <f>G12*G40</f>
        <v>-5560.2322377862847</v>
      </c>
      <c r="H44" s="15">
        <f t="shared" ref="H44:K44" si="49">H12*H40</f>
        <v>-5838.2438496755994</v>
      </c>
      <c r="I44" s="15">
        <f t="shared" si="49"/>
        <v>-6198.2688870722623</v>
      </c>
      <c r="J44" s="15">
        <f t="shared" si="49"/>
        <v>-6579.7008185844015</v>
      </c>
      <c r="K44" s="15">
        <f t="shared" si="49"/>
        <v>-6983.7802710300748</v>
      </c>
    </row>
    <row r="45" spans="2:11" ht="15" customHeight="1" x14ac:dyDescent="0.3">
      <c r="B45" t="str">
        <f>IS!A13</f>
        <v>Cost of services sold</v>
      </c>
      <c r="D45" s="15">
        <f>-IS!C13</f>
        <v>-4652</v>
      </c>
      <c r="E45" s="15">
        <f>-IS!D13</f>
        <v>-4538</v>
      </c>
      <c r="F45" s="15">
        <f>-IS!E13</f>
        <v>-4812</v>
      </c>
      <c r="G45" s="15">
        <f>G13*G41</f>
        <v>-5195.0094094539618</v>
      </c>
      <c r="H45" s="15">
        <f t="shared" ref="H45:K45" si="50">H13*H41</f>
        <v>-5538.1397809483951</v>
      </c>
      <c r="I45" s="15">
        <f t="shared" si="50"/>
        <v>-5909.6658881533176</v>
      </c>
      <c r="J45" s="15">
        <f t="shared" si="50"/>
        <v>-6312.2323284543209</v>
      </c>
      <c r="K45" s="15">
        <f t="shared" si="50"/>
        <v>-6748.7547551285779</v>
      </c>
    </row>
    <row r="46" spans="2:11" ht="15" customHeight="1" x14ac:dyDescent="0.3">
      <c r="B46" s="17" t="s">
        <v>111</v>
      </c>
      <c r="C46" s="17"/>
      <c r="D46" s="17">
        <f>SUM(D42:D45)</f>
        <v>3826</v>
      </c>
      <c r="E46" s="17">
        <f t="shared" ref="E46:K46" si="51">SUM(E42:E45)</f>
        <v>3779</v>
      </c>
      <c r="F46" s="17">
        <f t="shared" si="51"/>
        <v>4193</v>
      </c>
      <c r="G46" s="17">
        <f t="shared" si="51"/>
        <v>4424.5023527597568</v>
      </c>
      <c r="H46" s="17">
        <f t="shared" si="51"/>
        <v>4697.6545905760049</v>
      </c>
      <c r="I46" s="17">
        <f t="shared" si="51"/>
        <v>5006.0312760936222</v>
      </c>
      <c r="J46" s="17">
        <f t="shared" si="51"/>
        <v>5338.317476258343</v>
      </c>
      <c r="K46" s="17">
        <f t="shared" si="51"/>
        <v>5696.5943271715705</v>
      </c>
    </row>
    <row r="48" spans="2:11" ht="15" customHeight="1" x14ac:dyDescent="0.3">
      <c r="B48" s="15" t="s">
        <v>112</v>
      </c>
      <c r="C48" s="15"/>
      <c r="D48" s="15">
        <f>-SUM(IS!C15,IS!C14)</f>
        <v>-1973</v>
      </c>
      <c r="E48" s="15">
        <f>-(IS!D14+IS!D15)</f>
        <v>-2076</v>
      </c>
      <c r="F48" s="15">
        <f>-(IS!E14+IS!E15)</f>
        <v>-2107</v>
      </c>
      <c r="G48" s="15">
        <f>G14*G42</f>
        <v>-2330.1627329424191</v>
      </c>
      <c r="H48" s="15">
        <f t="shared" ref="H48:K48" si="52">H14*H42</f>
        <v>-2467.4411393849782</v>
      </c>
      <c r="I48" s="15">
        <f t="shared" si="52"/>
        <v>-2627.0749958382517</v>
      </c>
      <c r="J48" s="15">
        <f t="shared" si="52"/>
        <v>-2798.4299744848872</v>
      </c>
      <c r="K48" s="15">
        <f t="shared" si="52"/>
        <v>-2982.4635483080428</v>
      </c>
    </row>
    <row r="49" spans="2:11" ht="15" customHeight="1" x14ac:dyDescent="0.3">
      <c r="B49" s="17" t="s">
        <v>113</v>
      </c>
      <c r="C49" s="17"/>
      <c r="D49" s="17">
        <f>SUM(D46:D48)</f>
        <v>1853</v>
      </c>
      <c r="E49" s="17">
        <f t="shared" ref="E49:K49" si="53">SUM(E46:E48)</f>
        <v>1703</v>
      </c>
      <c r="F49" s="17">
        <f t="shared" si="53"/>
        <v>2086</v>
      </c>
      <c r="G49" s="17">
        <f t="shared" si="53"/>
        <v>2094.3396198173377</v>
      </c>
      <c r="H49" s="17">
        <f t="shared" si="53"/>
        <v>2230.2134511910267</v>
      </c>
      <c r="I49" s="17">
        <f t="shared" si="53"/>
        <v>2378.9562802553705</v>
      </c>
      <c r="J49" s="17">
        <f t="shared" si="53"/>
        <v>2539.8875017734558</v>
      </c>
      <c r="K49" s="17">
        <f t="shared" si="53"/>
        <v>2714.1307788635277</v>
      </c>
    </row>
    <row r="50" spans="2:11" ht="15" customHeight="1" x14ac:dyDescent="0.3">
      <c r="D50" s="7"/>
      <c r="E50" s="7"/>
      <c r="F50" s="7"/>
    </row>
    <row r="51" spans="2:11" ht="15" customHeight="1" x14ac:dyDescent="0.3">
      <c r="B51" t="str">
        <f>IS!A17</f>
        <v>Other income (expense), net</v>
      </c>
      <c r="D51" s="15">
        <f>IS!C17</f>
        <v>-39</v>
      </c>
      <c r="E51" s="15">
        <f>IS!D17</f>
        <v>-64</v>
      </c>
      <c r="F51" s="15">
        <f>IS!E17</f>
        <v>22</v>
      </c>
      <c r="G51" s="15">
        <f>F51</f>
        <v>22</v>
      </c>
      <c r="H51" s="15">
        <f t="shared" ref="H51:K51" si="54">G51</f>
        <v>22</v>
      </c>
      <c r="I51" s="15">
        <f t="shared" si="54"/>
        <v>22</v>
      </c>
      <c r="J51" s="15">
        <f t="shared" si="54"/>
        <v>22</v>
      </c>
      <c r="K51" s="15">
        <f t="shared" si="54"/>
        <v>22</v>
      </c>
    </row>
    <row r="52" spans="2:11" ht="15" customHeight="1" x14ac:dyDescent="0.3">
      <c r="B52" t="str">
        <f>IS!A19</f>
        <v>Non-service pension benefit (Cost)</v>
      </c>
      <c r="D52" s="15">
        <f>-IS!C19</f>
        <v>33</v>
      </c>
      <c r="E52" s="15">
        <f>-IS!D19</f>
        <v>-6</v>
      </c>
      <c r="F52" s="15">
        <f>-IS!E19</f>
        <v>-11</v>
      </c>
      <c r="G52" s="15">
        <f>F52</f>
        <v>-11</v>
      </c>
      <c r="H52" s="15">
        <f t="shared" ref="H52:K52" si="55">G52</f>
        <v>-11</v>
      </c>
      <c r="I52" s="15">
        <f t="shared" si="55"/>
        <v>-11</v>
      </c>
      <c r="J52" s="15">
        <f t="shared" si="55"/>
        <v>-11</v>
      </c>
      <c r="K52" s="15">
        <f t="shared" si="55"/>
        <v>-11</v>
      </c>
    </row>
    <row r="53" spans="2:11" ht="15" customHeight="1" x14ac:dyDescent="0.3">
      <c r="B53" s="17" t="s">
        <v>157</v>
      </c>
      <c r="C53" s="17"/>
      <c r="D53" s="17">
        <f>SUM(D49:D52)</f>
        <v>1847</v>
      </c>
      <c r="E53" s="17">
        <f t="shared" ref="E53:K53" si="56">SUM(E49:E52)</f>
        <v>1633</v>
      </c>
      <c r="F53" s="17">
        <f t="shared" si="56"/>
        <v>2097</v>
      </c>
      <c r="G53" s="17">
        <f t="shared" si="56"/>
        <v>2105.3396198173377</v>
      </c>
      <c r="H53" s="17">
        <f t="shared" si="56"/>
        <v>2241.2134511910267</v>
      </c>
      <c r="I53" s="17">
        <f t="shared" si="56"/>
        <v>2389.9562802553705</v>
      </c>
      <c r="J53" s="17">
        <f t="shared" si="56"/>
        <v>2550.8875017734558</v>
      </c>
      <c r="K53" s="17">
        <f t="shared" si="56"/>
        <v>2725.1307788635277</v>
      </c>
    </row>
    <row r="54" spans="2:11" ht="15" customHeight="1" x14ac:dyDescent="0.3">
      <c r="D54" s="15"/>
      <c r="E54" s="15"/>
      <c r="F54" s="15"/>
      <c r="G54" s="15"/>
      <c r="H54" s="15"/>
      <c r="I54" s="15"/>
      <c r="J54" s="15"/>
      <c r="K54" s="15"/>
    </row>
    <row r="55" spans="2:11" ht="15" customHeight="1" x14ac:dyDescent="0.3">
      <c r="B55" t="str">
        <f>IS!A20</f>
        <v>Interest  income (expense), net</v>
      </c>
      <c r="D55" s="15">
        <f>-IS!C20</f>
        <v>14</v>
      </c>
      <c r="E55" s="15">
        <f>-IS!D20</f>
        <v>-122</v>
      </c>
      <c r="F55" s="15">
        <f>-IS!E20</f>
        <v>-136</v>
      </c>
      <c r="G55" s="117">
        <f>G79*G17</f>
        <v>-142.40097266476604</v>
      </c>
      <c r="H55" s="117">
        <f t="shared" ref="H55:K55" si="57">H79*H17</f>
        <v>-142.40097266476604</v>
      </c>
      <c r="I55" s="117">
        <f t="shared" si="57"/>
        <v>-142.40097266476604</v>
      </c>
      <c r="J55" s="117">
        <f t="shared" si="57"/>
        <v>-142.40097266476604</v>
      </c>
      <c r="K55" s="117">
        <f t="shared" si="57"/>
        <v>-142.40097266476604</v>
      </c>
    </row>
    <row r="56" spans="2:11" ht="15" customHeight="1" x14ac:dyDescent="0.3">
      <c r="B56" s="17" t="s">
        <v>114</v>
      </c>
      <c r="C56" s="17"/>
      <c r="D56" s="17">
        <f>SUM(D53:D55)</f>
        <v>1861</v>
      </c>
      <c r="E56" s="17">
        <f t="shared" ref="E56:F56" si="58">SUM(E53:E55)</f>
        <v>1511</v>
      </c>
      <c r="F56" s="17">
        <f t="shared" si="58"/>
        <v>1961</v>
      </c>
      <c r="G56" s="17">
        <f t="shared" ref="G56" si="59">SUM(G53:G55)</f>
        <v>1962.9386471525718</v>
      </c>
      <c r="H56" s="17">
        <f t="shared" ref="H56" si="60">SUM(H53:H55)</f>
        <v>2098.8124785262607</v>
      </c>
      <c r="I56" s="17">
        <f t="shared" ref="I56" si="61">SUM(I53:I55)</f>
        <v>2247.5553075906046</v>
      </c>
      <c r="J56" s="17">
        <f t="shared" ref="J56" si="62">SUM(J53:J55)</f>
        <v>2408.4865291086899</v>
      </c>
      <c r="K56" s="17">
        <f t="shared" ref="K56" si="63">SUM(K53:K55)</f>
        <v>2582.7298061987617</v>
      </c>
    </row>
    <row r="58" spans="2:11" ht="15" customHeight="1" x14ac:dyDescent="0.3">
      <c r="B58" t="str">
        <f>IS!A22</f>
        <v>Income tax expense</v>
      </c>
      <c r="D58" s="15">
        <f>-IS!C22</f>
        <v>-594</v>
      </c>
      <c r="E58" s="15">
        <f>-IS!D22</f>
        <v>-455</v>
      </c>
      <c r="F58" s="15">
        <f>-IS!E22</f>
        <v>-541</v>
      </c>
      <c r="G58" s="15">
        <f>G56*G15</f>
        <v>-586.38733432224399</v>
      </c>
      <c r="H58" s="15">
        <f t="shared" ref="H58:K58" si="64">H56*H15</f>
        <v>-626.97683206275826</v>
      </c>
      <c r="I58" s="15">
        <f t="shared" si="64"/>
        <v>-671.41067677874673</v>
      </c>
      <c r="J58" s="15">
        <f t="shared" si="64"/>
        <v>-719.48555172815088</v>
      </c>
      <c r="K58" s="15">
        <f t="shared" si="64"/>
        <v>-771.53712803423286</v>
      </c>
    </row>
    <row r="59" spans="2:11" ht="15" customHeight="1" x14ac:dyDescent="0.3">
      <c r="B59" s="17" t="s">
        <v>115</v>
      </c>
      <c r="C59" s="17"/>
      <c r="D59" s="17">
        <f>SUM(D56:D58)</f>
        <v>1267</v>
      </c>
      <c r="E59" s="17">
        <f t="shared" ref="E59:K59" si="65">SUM(E56:E58)</f>
        <v>1056</v>
      </c>
      <c r="F59" s="17">
        <f t="shared" si="65"/>
        <v>1420</v>
      </c>
      <c r="G59" s="17">
        <f t="shared" si="65"/>
        <v>1376.5513128303278</v>
      </c>
      <c r="H59" s="17">
        <f t="shared" si="65"/>
        <v>1471.8356464635026</v>
      </c>
      <c r="I59" s="17">
        <f t="shared" si="65"/>
        <v>1576.144630811858</v>
      </c>
      <c r="J59" s="17">
        <f t="shared" si="65"/>
        <v>1689.0009773805391</v>
      </c>
      <c r="K59" s="17">
        <f t="shared" si="65"/>
        <v>1811.1926781645288</v>
      </c>
    </row>
    <row r="61" spans="2:11" ht="15" customHeight="1" x14ac:dyDescent="0.3">
      <c r="B61" t="s">
        <v>118</v>
      </c>
      <c r="D61" s="15">
        <f>-IS!C24</f>
        <v>-151</v>
      </c>
      <c r="E61" s="15">
        <f>-IS!D24</f>
        <v>-150</v>
      </c>
      <c r="F61" s="15">
        <f>-IS!E24</f>
        <v>-174</v>
      </c>
      <c r="G61" s="15">
        <f>G59*G16</f>
        <v>-176.08836556152556</v>
      </c>
      <c r="H61" s="15">
        <f t="shared" ref="H61:K61" si="66">H59*H16</f>
        <v>-188.27713209474447</v>
      </c>
      <c r="I61" s="15">
        <f t="shared" si="66"/>
        <v>-201.62033143361913</v>
      </c>
      <c r="J61" s="15">
        <f t="shared" si="66"/>
        <v>-216.05690886106271</v>
      </c>
      <c r="K61" s="15">
        <f t="shared" si="66"/>
        <v>-231.6876642682081</v>
      </c>
    </row>
    <row r="62" spans="2:11" ht="15" customHeight="1" x14ac:dyDescent="0.3">
      <c r="B62" s="17" t="str">
        <f>IS!A33</f>
        <v>Net income attributable to Otis</v>
      </c>
      <c r="C62" s="17"/>
      <c r="D62" s="17">
        <f>SUM(D59:D61)</f>
        <v>1116</v>
      </c>
      <c r="E62" s="17">
        <f t="shared" ref="E62:K62" si="67">SUM(E59:E61)</f>
        <v>906</v>
      </c>
      <c r="F62" s="17">
        <f t="shared" si="67"/>
        <v>1246</v>
      </c>
      <c r="G62" s="17">
        <f t="shared" si="67"/>
        <v>1200.4629472688023</v>
      </c>
      <c r="H62" s="17">
        <f t="shared" si="67"/>
        <v>1283.5585143687581</v>
      </c>
      <c r="I62" s="17">
        <f t="shared" si="67"/>
        <v>1374.5242993782388</v>
      </c>
      <c r="J62" s="17">
        <f t="shared" si="67"/>
        <v>1472.9440685194763</v>
      </c>
      <c r="K62" s="17">
        <f t="shared" si="67"/>
        <v>1579.5050138963206</v>
      </c>
    </row>
    <row r="64" spans="2:11" ht="15" customHeight="1" x14ac:dyDescent="0.3">
      <c r="B64" s="18" t="s">
        <v>120</v>
      </c>
      <c r="C64" s="14"/>
      <c r="D64" s="14"/>
      <c r="E64" s="14"/>
      <c r="F64" s="14"/>
      <c r="G64" s="14"/>
      <c r="H64" s="14"/>
      <c r="I64" s="14"/>
      <c r="J64" s="14"/>
      <c r="K64" s="14"/>
    </row>
    <row r="66" spans="1:11" ht="15" customHeight="1" x14ac:dyDescent="0.3">
      <c r="B66" s="21" t="s">
        <v>121</v>
      </c>
      <c r="D66" s="15"/>
      <c r="E66" s="15"/>
      <c r="F66" s="15"/>
      <c r="G66" s="15"/>
      <c r="H66" s="15"/>
      <c r="I66" s="15"/>
      <c r="J66" s="15"/>
      <c r="K66" s="15"/>
    </row>
    <row r="67" spans="1:11" ht="15" customHeight="1" x14ac:dyDescent="0.3">
      <c r="B67" t="s">
        <v>122</v>
      </c>
      <c r="D67" s="15"/>
      <c r="E67" s="15">
        <f>SUM(BS!D7:D8)</f>
        <v>1799</v>
      </c>
      <c r="F67" s="15">
        <f>SUM(BS!E7:E8)</f>
        <v>3475</v>
      </c>
      <c r="G67" s="15">
        <f>F67+G111</f>
        <v>4850.5327836092902</v>
      </c>
      <c r="H67" s="15">
        <f t="shared" ref="H67:K67" si="68">G67+H111</f>
        <v>6015.2741855106506</v>
      </c>
      <c r="I67" s="15">
        <f t="shared" si="68"/>
        <v>7296.2786176666032</v>
      </c>
      <c r="J67" s="15">
        <f t="shared" si="68"/>
        <v>8700.9058980370355</v>
      </c>
      <c r="K67" s="15">
        <f t="shared" si="68"/>
        <v>10188.939981437297</v>
      </c>
    </row>
    <row r="68" spans="1:11" ht="15" customHeight="1" x14ac:dyDescent="0.3">
      <c r="A68" s="31" t="s">
        <v>172</v>
      </c>
      <c r="B68" t="s">
        <v>123</v>
      </c>
      <c r="D68" s="15"/>
      <c r="E68" s="15">
        <f>BS!D9</f>
        <v>3148</v>
      </c>
      <c r="F68" s="15">
        <f>BS!E9</f>
        <v>3232</v>
      </c>
      <c r="G68" s="15">
        <f>G20*G42</f>
        <v>3588.7300089715136</v>
      </c>
      <c r="H68" s="15">
        <f t="shared" ref="H68:K68" si="69">H20*H42</f>
        <v>3800.1552153827838</v>
      </c>
      <c r="I68" s="15">
        <f t="shared" si="69"/>
        <v>4046.0104953607211</v>
      </c>
      <c r="J68" s="15">
        <f t="shared" si="69"/>
        <v>4309.9177089480436</v>
      </c>
      <c r="K68" s="15">
        <f t="shared" si="69"/>
        <v>4593.351479345466</v>
      </c>
    </row>
    <row r="69" spans="1:11" ht="15" customHeight="1" x14ac:dyDescent="0.3">
      <c r="A69" s="31" t="s">
        <v>172</v>
      </c>
      <c r="B69" t="s">
        <v>124</v>
      </c>
      <c r="D69" s="15"/>
      <c r="E69" s="15">
        <f>SUM(BS!D10:D12)</f>
        <v>1546</v>
      </c>
      <c r="F69" s="15">
        <f>SUM(BS!E10:E12)</f>
        <v>1554</v>
      </c>
      <c r="G69" s="15">
        <f>G24*(SUM(G44:G45))</f>
        <v>1753.1213010536364</v>
      </c>
      <c r="H69" s="15">
        <f t="shared" ref="H69:K69" si="70">H24*(SUM(H44:H45))</f>
        <v>1854.3684210872589</v>
      </c>
      <c r="I69" s="15">
        <f t="shared" si="70"/>
        <v>1973.6124080171383</v>
      </c>
      <c r="J69" s="15">
        <f t="shared" si="70"/>
        <v>2101.4053754554539</v>
      </c>
      <c r="K69" s="15">
        <f t="shared" si="70"/>
        <v>2238.4248035934543</v>
      </c>
    </row>
    <row r="70" spans="1:11" ht="15" customHeight="1" x14ac:dyDescent="0.3">
      <c r="A70" s="115" t="s">
        <v>171</v>
      </c>
      <c r="B70" t="s">
        <v>125</v>
      </c>
      <c r="D70" s="15"/>
      <c r="E70" s="15">
        <f>SUM(BS!D15,BS!D17,BS!D18)</f>
        <v>3031</v>
      </c>
      <c r="F70" s="15">
        <f>SUM(BS!E15,BS!E17,BS!E18)</f>
        <v>2860</v>
      </c>
      <c r="G70" s="15">
        <f>F70-G100-G94</f>
        <v>2826.6935239519121</v>
      </c>
      <c r="H70" s="15">
        <f t="shared" ref="H70:K70" si="71">G70-H100-H94</f>
        <v>2791.4248416203491</v>
      </c>
      <c r="I70" s="15">
        <f t="shared" si="71"/>
        <v>2753.8744125501321</v>
      </c>
      <c r="J70" s="15">
        <f t="shared" si="71"/>
        <v>2713.8746993971645</v>
      </c>
      <c r="K70" s="15">
        <f t="shared" si="71"/>
        <v>2671.2444790560376</v>
      </c>
    </row>
    <row r="71" spans="1:11" ht="15" customHeight="1" x14ac:dyDescent="0.3">
      <c r="A71" s="31" t="s">
        <v>172</v>
      </c>
      <c r="B71" t="str">
        <f>BS!A16</f>
        <v>Operating lease right-of-use assets</v>
      </c>
      <c r="D71" s="15"/>
      <c r="E71" s="15">
        <f>BS!D16</f>
        <v>542</v>
      </c>
      <c r="F71" s="15">
        <f>BS!E16</f>
        <v>526</v>
      </c>
      <c r="G71" s="15">
        <f>G25*G48</f>
        <v>595.03389935550365</v>
      </c>
      <c r="H71" s="15">
        <f t="shared" ref="H71:K71" si="72">H25*H48</f>
        <v>630.08952200709302</v>
      </c>
      <c r="I71" s="15">
        <f t="shared" si="72"/>
        <v>670.85386637312035</v>
      </c>
      <c r="J71" s="15">
        <f t="shared" si="72"/>
        <v>714.61133432873123</v>
      </c>
      <c r="K71" s="15">
        <f t="shared" si="72"/>
        <v>761.60642763109558</v>
      </c>
    </row>
    <row r="72" spans="1:11" ht="15" customHeight="1" x14ac:dyDescent="0.3">
      <c r="A72" t="s">
        <v>171</v>
      </c>
      <c r="B72" t="s">
        <v>126</v>
      </c>
      <c r="D72" s="15"/>
      <c r="E72" s="15">
        <f>SUM(BS!D14,BS!D19)</f>
        <v>644</v>
      </c>
      <c r="F72" s="15">
        <f>SUM(BS!E14,BS!E19)</f>
        <v>632</v>
      </c>
      <c r="G72" s="15">
        <f>F72-G97-G101</f>
        <v>635.96889208173877</v>
      </c>
      <c r="H72" s="15">
        <f t="shared" ref="H72:K72" si="73">G72-H97-H101</f>
        <v>635.75308188281099</v>
      </c>
      <c r="I72" s="15">
        <f t="shared" si="73"/>
        <v>630.67110095475891</v>
      </c>
      <c r="J72" s="15">
        <f t="shared" si="73"/>
        <v>620.36565052026128</v>
      </c>
      <c r="K72" s="15">
        <f t="shared" si="73"/>
        <v>604.45024484186138</v>
      </c>
    </row>
    <row r="73" spans="1:11" ht="15" customHeight="1" x14ac:dyDescent="0.3">
      <c r="B73" s="17" t="s">
        <v>127</v>
      </c>
      <c r="C73" s="17"/>
      <c r="D73" s="17"/>
      <c r="E73" s="17">
        <f>SUM(E67:E72)</f>
        <v>10710</v>
      </c>
      <c r="F73" s="17">
        <f>SUM(F67:F72)</f>
        <v>12279</v>
      </c>
      <c r="G73" s="17">
        <f t="shared" ref="G73:K73" si="74">SUM(G67:G72)</f>
        <v>14250.080409023594</v>
      </c>
      <c r="H73" s="17">
        <f t="shared" si="74"/>
        <v>15727.065267490945</v>
      </c>
      <c r="I73" s="17">
        <f t="shared" si="74"/>
        <v>17371.300900922473</v>
      </c>
      <c r="J73" s="17">
        <f t="shared" si="74"/>
        <v>19161.080666686688</v>
      </c>
      <c r="K73" s="17">
        <f t="shared" si="74"/>
        <v>21058.017415905211</v>
      </c>
    </row>
    <row r="75" spans="1:11" ht="15" customHeight="1" x14ac:dyDescent="0.3">
      <c r="B75" s="21" t="s">
        <v>128</v>
      </c>
    </row>
    <row r="76" spans="1:11" ht="15" customHeight="1" x14ac:dyDescent="0.3">
      <c r="A76" s="31" t="s">
        <v>172</v>
      </c>
      <c r="B76" t="str">
        <f>BS!A23</f>
        <v>Accounts payable</v>
      </c>
      <c r="E76" s="15">
        <f>BS!D23</f>
        <v>1453</v>
      </c>
      <c r="F76" s="15">
        <f>BS!E23</f>
        <v>1556</v>
      </c>
      <c r="G76" s="15">
        <f>G21*SUM(G44:G45)</f>
        <v>1698.4745281825724</v>
      </c>
      <c r="H76" s="15">
        <f t="shared" ref="H76:K76" si="75">H21*SUM(H44:H45)</f>
        <v>1796.5656610240928</v>
      </c>
      <c r="I76" s="15">
        <f t="shared" si="75"/>
        <v>1912.0926780751161</v>
      </c>
      <c r="J76" s="15">
        <f t="shared" si="75"/>
        <v>2035.902194247439</v>
      </c>
      <c r="K76" s="15">
        <f t="shared" si="75"/>
        <v>2168.6505719088523</v>
      </c>
    </row>
    <row r="77" spans="1:11" ht="15" customHeight="1" x14ac:dyDescent="0.3">
      <c r="A77" s="31" t="s">
        <v>172</v>
      </c>
      <c r="B77" t="str">
        <f>BS!A24</f>
        <v>Accrued liabilities</v>
      </c>
      <c r="E77" s="15">
        <f>BS!D24</f>
        <v>1977</v>
      </c>
      <c r="F77" s="15">
        <f>BS!E24</f>
        <v>1993</v>
      </c>
      <c r="G77" s="15">
        <f>G22*G19</f>
        <v>2238.0333333154745</v>
      </c>
      <c r="H77" s="15">
        <f t="shared" ref="H77:K77" si="76">H22*H19</f>
        <v>2367.7480951816028</v>
      </c>
      <c r="I77" s="15">
        <f t="shared" si="76"/>
        <v>2520.1699600749916</v>
      </c>
      <c r="J77" s="15">
        <f t="shared" si="76"/>
        <v>2683.5667173553165</v>
      </c>
      <c r="K77" s="15">
        <f t="shared" si="76"/>
        <v>2858.8129865234546</v>
      </c>
    </row>
    <row r="78" spans="1:11" ht="15" customHeight="1" x14ac:dyDescent="0.3">
      <c r="A78" s="31" t="s">
        <v>172</v>
      </c>
      <c r="B78" t="str">
        <f>BS!A25</f>
        <v>Contract liabilities</v>
      </c>
      <c r="E78" s="15">
        <f>BS!D25</f>
        <v>2542</v>
      </c>
      <c r="F78" s="15">
        <f>BS!E25</f>
        <v>2674</v>
      </c>
      <c r="G78" s="15">
        <f>G23*G19</f>
        <v>2937.3315096162314</v>
      </c>
      <c r="H78" s="15">
        <f t="shared" ref="H78:K78" si="77">H23*H19</f>
        <v>3107.5770781785641</v>
      </c>
      <c r="I78" s="15">
        <f t="shared" si="77"/>
        <v>3307.6248343228235</v>
      </c>
      <c r="J78" s="15">
        <f t="shared" si="77"/>
        <v>3522.0767089147016</v>
      </c>
      <c r="K78" s="15">
        <f t="shared" si="77"/>
        <v>3752.0806059557203</v>
      </c>
    </row>
    <row r="79" spans="1:11" ht="15" customHeight="1" x14ac:dyDescent="0.3">
      <c r="B79" t="s">
        <v>129</v>
      </c>
      <c r="E79" s="7">
        <f>SUM(BS!D22,BS!D28)</f>
        <v>5963</v>
      </c>
      <c r="F79" s="7">
        <f>SUM(BS!E22,BS!E28)</f>
        <v>7273</v>
      </c>
      <c r="G79" s="15" cm="1">
        <f t="array" ref="G79:K79">G31:K31</f>
        <v>7273</v>
      </c>
      <c r="H79" s="15">
        <v>7273</v>
      </c>
      <c r="I79" s="15">
        <v>7273</v>
      </c>
      <c r="J79" s="15">
        <v>7273</v>
      </c>
      <c r="K79" s="15">
        <v>7273</v>
      </c>
    </row>
    <row r="80" spans="1:11" ht="15" customHeight="1" x14ac:dyDescent="0.3">
      <c r="A80" s="31" t="s">
        <v>172</v>
      </c>
      <c r="B80" t="str">
        <f>BS!A30</f>
        <v>Operating lease liabilities</v>
      </c>
      <c r="E80">
        <f>BS!D30</f>
        <v>367</v>
      </c>
      <c r="F80">
        <f>BS!E30</f>
        <v>336</v>
      </c>
      <c r="G80" s="15">
        <f>F80+G71-F71</f>
        <v>405.03389935550365</v>
      </c>
      <c r="H80" s="15">
        <f t="shared" ref="H80:K80" si="78">G80+H71-G71</f>
        <v>440.08952200709302</v>
      </c>
      <c r="I80" s="15">
        <f t="shared" si="78"/>
        <v>480.85386637312047</v>
      </c>
      <c r="J80" s="15">
        <f t="shared" si="78"/>
        <v>524.61133432873135</v>
      </c>
      <c r="K80" s="15">
        <f t="shared" si="78"/>
        <v>571.6064276310957</v>
      </c>
    </row>
    <row r="81" spans="1:11" ht="15" customHeight="1" x14ac:dyDescent="0.3">
      <c r="A81" s="31" t="s">
        <v>172</v>
      </c>
      <c r="B81" t="s">
        <v>130</v>
      </c>
      <c r="E81" s="15">
        <f>SUM(BS!D29,BS!D31,BS!D32)</f>
        <v>1609</v>
      </c>
      <c r="F81" s="15">
        <f>SUM(BS!E29,BS!E31,BS!E32)</f>
        <v>1431</v>
      </c>
      <c r="G81" s="15">
        <f>G26*G19</f>
        <v>1719.1025979830847</v>
      </c>
      <c r="H81" s="15">
        <f t="shared" ref="H81:K81" si="79">H26*H19</f>
        <v>1818.7405170441343</v>
      </c>
      <c r="I81" s="15">
        <f t="shared" si="79"/>
        <v>1935.8204639899986</v>
      </c>
      <c r="J81" s="15">
        <f t="shared" si="79"/>
        <v>2061.3305650958173</v>
      </c>
      <c r="K81" s="15">
        <f t="shared" si="79"/>
        <v>2195.9426426413679</v>
      </c>
    </row>
    <row r="82" spans="1:11" ht="15" customHeight="1" x14ac:dyDescent="0.3">
      <c r="B82" s="17" t="s">
        <v>131</v>
      </c>
      <c r="C82" s="17"/>
      <c r="D82" s="17"/>
      <c r="E82" s="17">
        <f>SUM(E76:E81)</f>
        <v>13911</v>
      </c>
      <c r="F82" s="17">
        <f>SUM(F76:F81)</f>
        <v>15263</v>
      </c>
      <c r="G82" s="17">
        <f t="shared" ref="G82:K82" si="80">SUM(G76:G81)</f>
        <v>16270.975868452866</v>
      </c>
      <c r="H82" s="17">
        <f t="shared" si="80"/>
        <v>16803.720873435486</v>
      </c>
      <c r="I82" s="17">
        <f t="shared" si="80"/>
        <v>17429.561802836051</v>
      </c>
      <c r="J82" s="17">
        <f t="shared" si="80"/>
        <v>18100.487519942006</v>
      </c>
      <c r="K82" s="17">
        <f t="shared" si="80"/>
        <v>18820.09323466049</v>
      </c>
    </row>
    <row r="84" spans="1:11" ht="15" customHeight="1" x14ac:dyDescent="0.3">
      <c r="A84" s="119" t="s">
        <v>171</v>
      </c>
      <c r="B84" t="s">
        <v>169</v>
      </c>
      <c r="E84">
        <f>SUM(BS!D35,BS!D44)</f>
        <v>661</v>
      </c>
      <c r="F84">
        <f>SUM(BS!E35,BS!E44)</f>
        <v>641</v>
      </c>
      <c r="G84" s="15">
        <f>F84+G95+G107</f>
        <v>643.13606165303213</v>
      </c>
      <c r="H84" s="15">
        <f t="shared" ref="H84:K84" si="81">G84+H95+H107</f>
        <v>645.41998064295512</v>
      </c>
      <c r="I84" s="15">
        <f t="shared" si="81"/>
        <v>647.86576095940961</v>
      </c>
      <c r="J84" s="15">
        <f t="shared" si="81"/>
        <v>650.48666596025441</v>
      </c>
      <c r="K84" s="15">
        <f t="shared" si="81"/>
        <v>653.2971817688699</v>
      </c>
    </row>
    <row r="85" spans="1:11" ht="15" customHeight="1" x14ac:dyDescent="0.3">
      <c r="A85" s="22" t="s">
        <v>171</v>
      </c>
      <c r="B85" t="s">
        <v>132</v>
      </c>
      <c r="E85" s="15">
        <f>BS!D43</f>
        <v>-3862</v>
      </c>
      <c r="F85" s="15">
        <f>BS!E43</f>
        <v>-3625</v>
      </c>
      <c r="G85" s="15">
        <f>F85+G93+G105+G106+G108+G110</f>
        <v>-2664.0315210823042</v>
      </c>
      <c r="H85" s="15">
        <f t="shared" ref="H85:K85" si="82">G85+H93+H105+H106+H108+H110</f>
        <v>-1722.0755865874958</v>
      </c>
      <c r="I85" s="15">
        <f t="shared" si="82"/>
        <v>-706.12666287298646</v>
      </c>
      <c r="J85" s="15">
        <f t="shared" si="82"/>
        <v>410.1064807844291</v>
      </c>
      <c r="K85" s="15">
        <f t="shared" si="82"/>
        <v>1584.6269994758518</v>
      </c>
    </row>
    <row r="86" spans="1:11" ht="15" customHeight="1" x14ac:dyDescent="0.3">
      <c r="B86" s="17" t="s">
        <v>133</v>
      </c>
      <c r="C86" s="17"/>
      <c r="D86" s="17"/>
      <c r="E86" s="17">
        <f>SUM(E84:E85)</f>
        <v>-3201</v>
      </c>
      <c r="F86" s="17">
        <f>SUM(F84:F85)</f>
        <v>-2984</v>
      </c>
      <c r="G86" s="17">
        <f t="shared" ref="G86:K86" si="83">SUM(G84:G85)</f>
        <v>-2020.895459429272</v>
      </c>
      <c r="H86" s="17">
        <f t="shared" si="83"/>
        <v>-1076.6556059445406</v>
      </c>
      <c r="I86" s="17">
        <f t="shared" si="83"/>
        <v>-58.260901913576845</v>
      </c>
      <c r="J86" s="17">
        <f t="shared" si="83"/>
        <v>1060.5931467446835</v>
      </c>
      <c r="K86" s="17">
        <f t="shared" si="83"/>
        <v>2237.9241812447217</v>
      </c>
    </row>
    <row r="87" spans="1:11" ht="15" customHeight="1" x14ac:dyDescent="0.3">
      <c r="B87" s="17" t="s">
        <v>134</v>
      </c>
      <c r="C87" s="17"/>
      <c r="D87" s="17"/>
      <c r="E87" s="17">
        <f>SUM(E82,E86)</f>
        <v>10710</v>
      </c>
      <c r="F87" s="17">
        <f>SUM(F82,F86)</f>
        <v>12279</v>
      </c>
      <c r="G87" s="17">
        <f t="shared" ref="G87:K87" si="84">SUM(G82,G86)</f>
        <v>14250.080409023594</v>
      </c>
      <c r="H87" s="17">
        <f t="shared" si="84"/>
        <v>15727.065267490945</v>
      </c>
      <c r="I87" s="17">
        <f t="shared" si="84"/>
        <v>17371.300900922473</v>
      </c>
      <c r="J87" s="17">
        <f t="shared" si="84"/>
        <v>19161.080666686688</v>
      </c>
      <c r="K87" s="17">
        <f t="shared" si="84"/>
        <v>21058.017415905211</v>
      </c>
    </row>
    <row r="89" spans="1:11" ht="15" customHeight="1" x14ac:dyDescent="0.3">
      <c r="B89" t="s">
        <v>135</v>
      </c>
      <c r="E89" s="49">
        <f>E87-E73</f>
        <v>0</v>
      </c>
      <c r="F89" s="49">
        <f t="shared" ref="F89:K89" si="85">F87-F73</f>
        <v>0</v>
      </c>
      <c r="G89" s="49">
        <f t="shared" si="85"/>
        <v>0</v>
      </c>
      <c r="H89" s="49">
        <f t="shared" si="85"/>
        <v>0</v>
      </c>
      <c r="I89" s="49">
        <f t="shared" si="85"/>
        <v>0</v>
      </c>
      <c r="J89" s="49">
        <f t="shared" si="85"/>
        <v>0</v>
      </c>
      <c r="K89" s="49">
        <f t="shared" si="85"/>
        <v>0</v>
      </c>
    </row>
    <row r="91" spans="1:11" ht="15" customHeight="1" x14ac:dyDescent="0.3">
      <c r="B91" s="18" t="s">
        <v>136</v>
      </c>
      <c r="C91" s="14"/>
      <c r="D91" s="14"/>
      <c r="E91" s="14"/>
      <c r="F91" s="14"/>
      <c r="G91" s="14"/>
      <c r="H91" s="14"/>
      <c r="I91" s="14"/>
      <c r="J91" s="14"/>
      <c r="K91" s="14"/>
    </row>
    <row r="93" spans="1:11" ht="15" customHeight="1" x14ac:dyDescent="0.3">
      <c r="A93" s="22" t="s">
        <v>172</v>
      </c>
      <c r="B93" t="s">
        <v>115</v>
      </c>
      <c r="D93" s="15">
        <f>D62</f>
        <v>1116</v>
      </c>
      <c r="E93" s="15">
        <f t="shared" ref="E93:F93" si="86">E62</f>
        <v>906</v>
      </c>
      <c r="F93" s="15">
        <f t="shared" si="86"/>
        <v>1246</v>
      </c>
      <c r="G93" s="15">
        <f>G62</f>
        <v>1200.4629472688023</v>
      </c>
      <c r="H93" s="15">
        <f t="shared" ref="H93:K93" si="87">H62</f>
        <v>1283.5585143687581</v>
      </c>
      <c r="I93" s="15">
        <f t="shared" si="87"/>
        <v>1374.5242993782388</v>
      </c>
      <c r="J93" s="15">
        <f t="shared" si="87"/>
        <v>1472.9440685194763</v>
      </c>
      <c r="K93" s="15">
        <f t="shared" si="87"/>
        <v>1579.5050138963206</v>
      </c>
    </row>
    <row r="94" spans="1:11" ht="15" customHeight="1" x14ac:dyDescent="0.3">
      <c r="A94" s="115" t="s">
        <v>172</v>
      </c>
      <c r="B94" t="s">
        <v>137</v>
      </c>
      <c r="D94" s="15">
        <f>CF!C9</f>
        <v>180</v>
      </c>
      <c r="E94" s="15">
        <f>CF!D9</f>
        <v>191</v>
      </c>
      <c r="F94" s="15">
        <f>CF!E9</f>
        <v>203</v>
      </c>
      <c r="G94" s="15">
        <f>G28*G42</f>
        <v>217.03360260120607</v>
      </c>
      <c r="H94" s="15">
        <f t="shared" ref="H94:K94" si="88">H28*H42</f>
        <v>229.81984567700994</v>
      </c>
      <c r="I94" s="15">
        <f t="shared" si="88"/>
        <v>244.68829691149884</v>
      </c>
      <c r="J94" s="15">
        <f t="shared" si="88"/>
        <v>260.64846476311089</v>
      </c>
      <c r="K94" s="15">
        <f t="shared" si="88"/>
        <v>277.78952918824575</v>
      </c>
    </row>
    <row r="95" spans="1:11" ht="15" customHeight="1" x14ac:dyDescent="0.3">
      <c r="A95" s="119" t="s">
        <v>172</v>
      </c>
      <c r="B95" t="s">
        <v>138</v>
      </c>
      <c r="D95" s="15">
        <f>-D61</f>
        <v>151</v>
      </c>
      <c r="E95" s="15">
        <f t="shared" ref="E95:F95" si="89">-E61</f>
        <v>150</v>
      </c>
      <c r="F95" s="15">
        <f t="shared" si="89"/>
        <v>174</v>
      </c>
      <c r="G95" s="15">
        <f>-G61</f>
        <v>176.08836556152556</v>
      </c>
      <c r="H95" s="15">
        <f t="shared" ref="H95:K95" si="90">-H61</f>
        <v>188.27713209474447</v>
      </c>
      <c r="I95" s="15">
        <f t="shared" si="90"/>
        <v>201.62033143361913</v>
      </c>
      <c r="J95" s="15">
        <f t="shared" si="90"/>
        <v>216.05690886106271</v>
      </c>
      <c r="K95" s="15">
        <f t="shared" si="90"/>
        <v>231.6876642682081</v>
      </c>
    </row>
    <row r="96" spans="1:11" ht="15" customHeight="1" x14ac:dyDescent="0.3">
      <c r="A96" s="31" t="s">
        <v>171</v>
      </c>
      <c r="B96" t="s">
        <v>139</v>
      </c>
      <c r="D96" s="15">
        <f>SUM(CF!C16:C21)</f>
        <v>-32</v>
      </c>
      <c r="E96" s="15">
        <f>SUM(CF!D16:D21)</f>
        <v>77</v>
      </c>
      <c r="F96" s="15">
        <f>SUM(CF!E16:E21)</f>
        <v>160</v>
      </c>
      <c r="G96" s="113">
        <f>(G76-F76)+(G77-F77)+(G78-F78)+(G80-F80)+(G81-F81)-(+G68-F68)-(G69-F69)-(G71-F71)</f>
        <v>383.09065907221293</v>
      </c>
      <c r="H96" s="113">
        <f t="shared" ref="H96:K96" si="91">(H76-G76)+(H77-G77)+(H78-G78)+(H80-G80)+(H81-G81)-(+H68-G68)-(H69-G69)-(H71-G71)</f>
        <v>185.01705588613845</v>
      </c>
      <c r="I96" s="113">
        <f t="shared" si="91"/>
        <v>219.9773181267193</v>
      </c>
      <c r="J96" s="113">
        <f t="shared" si="91"/>
        <v>235.46806812470641</v>
      </c>
      <c r="K96" s="113">
        <f t="shared" si="91"/>
        <v>252.15742288069782</v>
      </c>
    </row>
    <row r="97" spans="1:11" ht="15" customHeight="1" x14ac:dyDescent="0.3">
      <c r="A97" s="119" t="s">
        <v>172</v>
      </c>
      <c r="B97" t="s">
        <v>140</v>
      </c>
      <c r="D97" s="15">
        <f>SUM(CF!C10:C12,CF!C24:C25)</f>
        <v>54</v>
      </c>
      <c r="E97" s="15">
        <f>SUM(CF!D10:D12,CF!D24:D25)</f>
        <v>156</v>
      </c>
      <c r="F97" s="15">
        <f>SUM(CF!E10:E12,CF!E24:E25)</f>
        <v>-33</v>
      </c>
      <c r="G97" s="15">
        <f>G42*G30</f>
        <v>71.031107918261227</v>
      </c>
      <c r="H97" s="15">
        <f t="shared" ref="H97:K97" si="92">H42*H30</f>
        <v>75.215810198927784</v>
      </c>
      <c r="I97" s="15">
        <f t="shared" si="92"/>
        <v>80.08198092805209</v>
      </c>
      <c r="J97" s="15">
        <f t="shared" si="92"/>
        <v>85.305450434497629</v>
      </c>
      <c r="K97" s="15">
        <f t="shared" si="92"/>
        <v>90.91540567839985</v>
      </c>
    </row>
    <row r="98" spans="1:11" ht="15" customHeight="1" x14ac:dyDescent="0.3">
      <c r="B98" s="17" t="s">
        <v>141</v>
      </c>
      <c r="C98" s="17"/>
      <c r="D98" s="17">
        <f>SUM(D93:D97)</f>
        <v>1469</v>
      </c>
      <c r="E98" s="17">
        <f t="shared" ref="E98:K98" si="93">SUM(E93:E97)</f>
        <v>1480</v>
      </c>
      <c r="F98" s="17">
        <f t="shared" si="93"/>
        <v>1750</v>
      </c>
      <c r="G98" s="17">
        <f t="shared" si="93"/>
        <v>2047.7066824220078</v>
      </c>
      <c r="H98" s="17">
        <f t="shared" si="93"/>
        <v>1961.8883582255787</v>
      </c>
      <c r="I98" s="17">
        <f t="shared" si="93"/>
        <v>2120.8922267781281</v>
      </c>
      <c r="J98" s="17">
        <f t="shared" si="93"/>
        <v>2270.4229607028542</v>
      </c>
      <c r="K98" s="17">
        <f t="shared" si="93"/>
        <v>2432.0550359118724</v>
      </c>
    </row>
    <row r="100" spans="1:11" ht="15" customHeight="1" x14ac:dyDescent="0.3">
      <c r="A100" s="115" t="s">
        <v>172</v>
      </c>
      <c r="B100" t="s">
        <v>142</v>
      </c>
      <c r="D100" s="15">
        <f>CF!C28</f>
        <v>-145</v>
      </c>
      <c r="E100" s="15">
        <f>CF!D28</f>
        <v>-183</v>
      </c>
      <c r="F100" s="15">
        <f>CF!E28</f>
        <v>-156</v>
      </c>
      <c r="G100" s="15">
        <f>G29*G42</f>
        <v>-183.72712655311824</v>
      </c>
      <c r="H100" s="15">
        <f t="shared" ref="H100:K100" si="94">H29*H42</f>
        <v>-194.55116334544718</v>
      </c>
      <c r="I100" s="15">
        <f t="shared" si="94"/>
        <v>-207.13786784128189</v>
      </c>
      <c r="J100" s="15">
        <f t="shared" si="94"/>
        <v>-220.64875161014325</v>
      </c>
      <c r="K100" s="15">
        <f t="shared" si="94"/>
        <v>-235.15930884711926</v>
      </c>
    </row>
    <row r="101" spans="1:11" ht="15" customHeight="1" x14ac:dyDescent="0.3">
      <c r="A101" s="119" t="s">
        <v>172</v>
      </c>
      <c r="B101" t="s">
        <v>143</v>
      </c>
      <c r="D101" s="15">
        <f>SUM(CF!C29:C33)</f>
        <v>-58</v>
      </c>
      <c r="E101" s="15">
        <f>SUM(CF!D29:D33)</f>
        <v>-170</v>
      </c>
      <c r="F101" s="15">
        <f>SUM(CF!E29:E33)</f>
        <v>67</v>
      </c>
      <c r="G101" s="114">
        <v>-75</v>
      </c>
      <c r="H101" s="114">
        <f>G101</f>
        <v>-75</v>
      </c>
      <c r="I101" s="114">
        <f t="shared" ref="I101:K101" si="95">H101</f>
        <v>-75</v>
      </c>
      <c r="J101" s="114">
        <f t="shared" si="95"/>
        <v>-75</v>
      </c>
      <c r="K101" s="114">
        <f t="shared" si="95"/>
        <v>-75</v>
      </c>
    </row>
    <row r="102" spans="1:11" ht="15" customHeight="1" x14ac:dyDescent="0.3">
      <c r="B102" s="17" t="s">
        <v>144</v>
      </c>
      <c r="C102" s="17"/>
      <c r="D102" s="17">
        <f>SUM(D100:D101)</f>
        <v>-203</v>
      </c>
      <c r="E102" s="17">
        <f t="shared" ref="E102:K102" si="96">SUM(E100:E101)</f>
        <v>-353</v>
      </c>
      <c r="F102" s="17">
        <f t="shared" si="96"/>
        <v>-89</v>
      </c>
      <c r="G102" s="17">
        <f t="shared" si="96"/>
        <v>-258.72712655311824</v>
      </c>
      <c r="H102" s="17">
        <f t="shared" si="96"/>
        <v>-269.55116334544721</v>
      </c>
      <c r="I102" s="17">
        <f t="shared" si="96"/>
        <v>-282.13786784128189</v>
      </c>
      <c r="J102" s="17">
        <f t="shared" si="96"/>
        <v>-295.64875161014322</v>
      </c>
      <c r="K102" s="17">
        <f t="shared" si="96"/>
        <v>-310.15930884711929</v>
      </c>
    </row>
    <row r="104" spans="1:11" ht="15" customHeight="1" x14ac:dyDescent="0.3">
      <c r="B104" t="s">
        <v>129</v>
      </c>
      <c r="D104" s="15">
        <f>SUM(CF!C36:C39,CF!C41)</f>
        <v>6</v>
      </c>
      <c r="E104" s="15">
        <f>SUM(CF!D36:D39,CF!D41)</f>
        <v>5947</v>
      </c>
      <c r="F104" s="15">
        <f>SUM(CF!E36:E39,CF!E41)</f>
        <v>1375</v>
      </c>
      <c r="G104" s="15">
        <f>G79-F79</f>
        <v>0</v>
      </c>
      <c r="H104" s="15">
        <f t="shared" ref="H104:K104" si="97">H79-G79</f>
        <v>0</v>
      </c>
      <c r="I104" s="15">
        <f t="shared" si="97"/>
        <v>0</v>
      </c>
      <c r="J104" s="15">
        <f t="shared" si="97"/>
        <v>0</v>
      </c>
      <c r="K104" s="15">
        <f t="shared" si="97"/>
        <v>0</v>
      </c>
    </row>
    <row r="105" spans="1:11" ht="15" customHeight="1" x14ac:dyDescent="0.3">
      <c r="A105" s="22" t="s">
        <v>172</v>
      </c>
      <c r="B105" t="str">
        <f>CF!A43</f>
        <v>Dividends paid on Common Stock</v>
      </c>
      <c r="D105" s="15">
        <f>CF!C43</f>
        <v>0</v>
      </c>
      <c r="E105" s="15">
        <f>CF!D43</f>
        <v>-260</v>
      </c>
      <c r="F105" s="15">
        <f>CF!E43</f>
        <v>-393</v>
      </c>
      <c r="G105" s="15">
        <f>G59*G32</f>
        <v>-239.96624518335773</v>
      </c>
      <c r="H105" s="15">
        <f t="shared" ref="H105:K105" si="98">H59*H32</f>
        <v>-342.10215080436126</v>
      </c>
      <c r="I105" s="15">
        <f t="shared" si="98"/>
        <v>-359.10726689265618</v>
      </c>
      <c r="J105" s="15">
        <f t="shared" si="98"/>
        <v>-357.27750950869336</v>
      </c>
      <c r="K105" s="15">
        <f t="shared" si="98"/>
        <v>-405.58834024337312</v>
      </c>
    </row>
    <row r="106" spans="1:11" ht="15" customHeight="1" x14ac:dyDescent="0.3">
      <c r="A106" s="22" t="s">
        <v>172</v>
      </c>
      <c r="B106" t="str">
        <f>CF!A44</f>
        <v>Repurchases of Common Stock</v>
      </c>
      <c r="D106" s="15">
        <f>CF!C44</f>
        <v>0</v>
      </c>
      <c r="E106" s="15">
        <f>CF!D44</f>
        <v>0</v>
      </c>
      <c r="F106" s="15">
        <f>CF!E44</f>
        <v>-725</v>
      </c>
      <c r="G106" s="15">
        <f>G33</f>
        <v>0</v>
      </c>
      <c r="H106" s="15">
        <f t="shared" ref="H106:K106" si="99">H33</f>
        <v>0</v>
      </c>
      <c r="I106" s="15">
        <f t="shared" si="99"/>
        <v>0</v>
      </c>
      <c r="J106" s="15">
        <f t="shared" si="99"/>
        <v>0</v>
      </c>
      <c r="K106" s="15">
        <f t="shared" si="99"/>
        <v>0</v>
      </c>
    </row>
    <row r="107" spans="1:11" ht="15" customHeight="1" x14ac:dyDescent="0.3">
      <c r="A107" s="119" t="s">
        <v>172</v>
      </c>
      <c r="B107" t="str">
        <f>CF!A45</f>
        <v>Dividends paid to noncontrolling interest</v>
      </c>
      <c r="D107" s="15">
        <f>CF!C45</f>
        <v>-163</v>
      </c>
      <c r="E107" s="15">
        <f>CF!D45</f>
        <v>-149</v>
      </c>
      <c r="F107" s="15">
        <f>CF!E45</f>
        <v>-155</v>
      </c>
      <c r="G107" s="15">
        <f>G61*G34</f>
        <v>-173.95230390849332</v>
      </c>
      <c r="H107" s="15">
        <f t="shared" ref="H107:K107" si="100">H61*H34</f>
        <v>-185.99321310482148</v>
      </c>
      <c r="I107" s="15">
        <f t="shared" si="100"/>
        <v>-199.17455111716473</v>
      </c>
      <c r="J107" s="15">
        <f t="shared" si="100"/>
        <v>-213.43600386021785</v>
      </c>
      <c r="K107" s="15">
        <f t="shared" si="100"/>
        <v>-228.8771484595926</v>
      </c>
    </row>
    <row r="108" spans="1:11" ht="15" customHeight="1" x14ac:dyDescent="0.3">
      <c r="A108" s="22" t="s">
        <v>172</v>
      </c>
      <c r="B108" t="s">
        <v>145</v>
      </c>
      <c r="D108" s="15">
        <f>SUM(CF!C40,CF!C46:C47)</f>
        <v>-976</v>
      </c>
      <c r="E108" s="15">
        <f>SUM(CF!D40,CF!D46:D47)</f>
        <v>-6382</v>
      </c>
      <c r="F108" s="15">
        <f>SUM(CF!E40,CF!E46:E47)</f>
        <v>-44</v>
      </c>
      <c r="G108" s="15">
        <f>G36</f>
        <v>0</v>
      </c>
      <c r="H108" s="15">
        <f t="shared" ref="H108:K108" si="101">H36</f>
        <v>0</v>
      </c>
      <c r="I108" s="15">
        <f t="shared" si="101"/>
        <v>0</v>
      </c>
      <c r="J108" s="15">
        <f t="shared" si="101"/>
        <v>0</v>
      </c>
      <c r="K108" s="15">
        <f t="shared" si="101"/>
        <v>0</v>
      </c>
    </row>
    <row r="109" spans="1:11" ht="15" customHeight="1" x14ac:dyDescent="0.3">
      <c r="B109" s="17" t="s">
        <v>146</v>
      </c>
      <c r="C109" s="17"/>
      <c r="D109" s="17">
        <f>SUM(D104:D108)</f>
        <v>-1133</v>
      </c>
      <c r="E109" s="17">
        <f t="shared" ref="E109:K109" si="102">SUM(E104:E108)</f>
        <v>-844</v>
      </c>
      <c r="F109" s="17">
        <f t="shared" si="102"/>
        <v>58</v>
      </c>
      <c r="G109" s="17">
        <f t="shared" si="102"/>
        <v>-413.91854909185105</v>
      </c>
      <c r="H109" s="17">
        <f t="shared" si="102"/>
        <v>-528.09536390918277</v>
      </c>
      <c r="I109" s="17">
        <f t="shared" si="102"/>
        <v>-558.28181800982088</v>
      </c>
      <c r="J109" s="17">
        <f t="shared" si="102"/>
        <v>-570.71351336891121</v>
      </c>
      <c r="K109" s="17">
        <f t="shared" si="102"/>
        <v>-634.46548870296579</v>
      </c>
    </row>
    <row r="110" spans="1:11" ht="15" customHeight="1" x14ac:dyDescent="0.3">
      <c r="A110" s="22" t="s">
        <v>172</v>
      </c>
      <c r="B110" t="s">
        <v>148</v>
      </c>
      <c r="D110">
        <f>CF!C50</f>
        <v>-20</v>
      </c>
      <c r="E110">
        <f>CF!D50</f>
        <v>59</v>
      </c>
      <c r="F110">
        <f>CF!E50</f>
        <v>-43</v>
      </c>
      <c r="G110" s="118">
        <f>G42*G35</f>
        <v>0.4717768322516428</v>
      </c>
      <c r="H110" s="118">
        <f>H42*H35</f>
        <v>0.49957093041157785</v>
      </c>
      <c r="I110" s="118">
        <f>I42*I35</f>
        <v>0.53189122892675456</v>
      </c>
      <c r="J110" s="118">
        <f>J42*J35</f>
        <v>0.56658464663255359</v>
      </c>
      <c r="K110" s="118">
        <f>K42*K35</f>
        <v>0.60384503847505866</v>
      </c>
    </row>
    <row r="111" spans="1:11" ht="15" customHeight="1" x14ac:dyDescent="0.3">
      <c r="B111" s="17" t="s">
        <v>147</v>
      </c>
      <c r="C111" s="17"/>
      <c r="D111" s="17">
        <f>SUM(D109:D110,D102,D98)</f>
        <v>113</v>
      </c>
      <c r="E111" s="17">
        <f t="shared" ref="E111:K111" si="103">SUM(E109:E110,E102,E98)</f>
        <v>342</v>
      </c>
      <c r="F111" s="17">
        <f t="shared" si="103"/>
        <v>1676</v>
      </c>
      <c r="G111" s="17">
        <f t="shared" si="103"/>
        <v>1375.5327836092902</v>
      </c>
      <c r="H111" s="17">
        <f t="shared" si="103"/>
        <v>1164.7414019013604</v>
      </c>
      <c r="I111" s="17">
        <f t="shared" si="103"/>
        <v>1281.0044321559521</v>
      </c>
      <c r="J111" s="17">
        <f t="shared" si="103"/>
        <v>1404.6272803704323</v>
      </c>
      <c r="K111" s="17">
        <f t="shared" si="103"/>
        <v>1488.0340834002623</v>
      </c>
    </row>
  </sheetData>
  <pageMargins left="0.7" right="0.7" top="0.75" bottom="0.75" header="0.3" footer="0.3"/>
  <pageSetup orientation="portrait" r:id="rId1"/>
  <ignoredErrors>
    <ignoredError sqref="C97:F97 D101:F101 E69:F69 E67:F67 D108:F108" formulaRange="1"/>
    <ignoredError sqref="G106:K106 G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CF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DeChesare</dc:creator>
  <cp:lastModifiedBy>Muhammad Usman</cp:lastModifiedBy>
  <cp:revision>0</cp:revision>
  <cp:lastPrinted>1601-01-01T00:00:00Z</cp:lastPrinted>
  <dcterms:created xsi:type="dcterms:W3CDTF">2022-02-04T21:29:55Z</dcterms:created>
  <dcterms:modified xsi:type="dcterms:W3CDTF">2025-12-13T08:36:10Z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