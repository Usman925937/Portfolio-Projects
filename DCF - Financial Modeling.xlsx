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518972e8543096/Desktop/"/>
    </mc:Choice>
  </mc:AlternateContent>
  <xr:revisionPtr revIDLastSave="562" documentId="13_ncr:1_{CD0C7C7D-2B04-4CDF-AC69-C98463E37776}" xr6:coauthVersionLast="47" xr6:coauthVersionMax="47" xr10:uidLastSave="{9F9E3727-0976-4F90-8F1F-01CE8DE20E78}"/>
  <bookViews>
    <workbookView xWindow="-108" yWindow="-108" windowWidth="23256" windowHeight="12456" activeTab="2" xr2:uid="{7A18313F-A378-4C7F-BE53-0E0880415868}"/>
  </bookViews>
  <sheets>
    <sheet name="P&amp;L source" sheetId="1" r:id="rId1"/>
    <sheet name="P&amp;L Assumption" sheetId="8" r:id="rId2"/>
    <sheet name="P&amp;L" sheetId="9" r:id="rId3"/>
    <sheet name="BS source" sheetId="2" r:id="rId4"/>
    <sheet name="BS Assumption" sheetId="10" r:id="rId5"/>
    <sheet name="BS" sheetId="11" r:id="rId6"/>
    <sheet name="CF" sheetId="12" r:id="rId7"/>
    <sheet name="Valuation" sheetId="14" r:id="rId8"/>
  </sheets>
  <definedNames>
    <definedName name="_xlnm.Print_Area" localSheetId="5">BS!$B$1:$J$21</definedName>
    <definedName name="_xlnm.Print_Area" localSheetId="4">'BS Assumption'!$B$1:$J$22</definedName>
    <definedName name="_xlnm.Print_Area" localSheetId="6">CF!$B$1:$J$36</definedName>
    <definedName name="_xlnm.Print_Area" localSheetId="2">'P&amp;L'!$D$1:$L$20</definedName>
    <definedName name="_xlnm.Print_Area" localSheetId="1">'P&amp;L Assumption'!$B$1:$J$48</definedName>
    <definedName name="_xlnm.Print_Area" localSheetId="0">'P&amp;L source'!$B$2:$E$29</definedName>
    <definedName name="_xlnm.Print_Area" localSheetId="7">Valuation!$B$2:$J$16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4" l="1"/>
  <c r="E5" i="14" s="1"/>
  <c r="B33" i="12" a="1"/>
  <c r="B33" i="12" s="1"/>
  <c r="F4" i="12"/>
  <c r="G4" i="12" s="1"/>
  <c r="H4" i="12" s="1"/>
  <c r="I4" i="12" s="1"/>
  <c r="J4" i="12" s="1"/>
  <c r="E4" i="12"/>
  <c r="D4" i="12"/>
  <c r="D17" i="11"/>
  <c r="D33" i="12" s="1"/>
  <c r="E17" i="11"/>
  <c r="F17" i="11" s="1"/>
  <c r="C17" i="11"/>
  <c r="C12" i="11" a="1"/>
  <c r="C12" i="11" s="1"/>
  <c r="C36" i="12" s="1"/>
  <c r="B12" i="11"/>
  <c r="F8" i="11"/>
  <c r="G8" i="11" s="1"/>
  <c r="H8" i="11" s="1"/>
  <c r="I8" i="11" s="1"/>
  <c r="J8" i="11" s="1"/>
  <c r="C8" i="11" a="1"/>
  <c r="C8" i="11" s="1"/>
  <c r="B8" i="11"/>
  <c r="C6" i="11" a="1"/>
  <c r="C6" i="11" s="1"/>
  <c r="B6" i="11"/>
  <c r="D4" i="11"/>
  <c r="E4" i="11" s="1"/>
  <c r="F4" i="11" s="1"/>
  <c r="G4" i="11" s="1"/>
  <c r="H4" i="11" s="1"/>
  <c r="I4" i="11" s="1"/>
  <c r="J4" i="11" s="1"/>
  <c r="B22" i="10"/>
  <c r="D21" i="10"/>
  <c r="E21" i="10"/>
  <c r="C21" i="10"/>
  <c r="B21" i="10"/>
  <c r="B19" i="10"/>
  <c r="C18" i="10" a="1"/>
  <c r="C18" i="10" s="1"/>
  <c r="B18" i="10"/>
  <c r="C15" i="10" a="1"/>
  <c r="C15" i="10" s="1"/>
  <c r="B15" i="10"/>
  <c r="C12" i="10" a="1"/>
  <c r="C12" i="10" s="1"/>
  <c r="B12" i="10"/>
  <c r="C9" i="10" a="1"/>
  <c r="C9" i="10" s="1"/>
  <c r="B9" i="10"/>
  <c r="C6" i="10" a="1"/>
  <c r="C6" i="10" s="1"/>
  <c r="B6" i="10"/>
  <c r="E4" i="10"/>
  <c r="F4" i="10" s="1"/>
  <c r="G4" i="10" s="1"/>
  <c r="H4" i="10" s="1"/>
  <c r="I4" i="10" s="1"/>
  <c r="J4" i="10" s="1"/>
  <c r="D4" i="10"/>
  <c r="E18" i="9" a="1"/>
  <c r="E18" i="9" s="1"/>
  <c r="F4" i="9"/>
  <c r="G4" i="9" s="1"/>
  <c r="H4" i="9" s="1"/>
  <c r="I4" i="9" s="1"/>
  <c r="J4" i="9" s="1"/>
  <c r="K4" i="9" s="1"/>
  <c r="L4" i="9" s="1"/>
  <c r="C44" i="8"/>
  <c r="D44" i="8"/>
  <c r="E44" i="8"/>
  <c r="B44" i="8"/>
  <c r="C38" i="8" a="1"/>
  <c r="C38" i="8" s="1"/>
  <c r="B32" i="8" a="1"/>
  <c r="B32" i="8" s="1"/>
  <c r="J33" i="8"/>
  <c r="I33" i="8"/>
  <c r="H33" i="8"/>
  <c r="G33" i="8"/>
  <c r="F33" i="8"/>
  <c r="D26" i="8"/>
  <c r="E26" i="8"/>
  <c r="C26" i="8"/>
  <c r="J27" i="8"/>
  <c r="I27" i="8"/>
  <c r="H27" i="8"/>
  <c r="G27" i="8"/>
  <c r="F27" i="8"/>
  <c r="C20" i="8"/>
  <c r="F21" i="8"/>
  <c r="G21" i="8"/>
  <c r="H21" i="8"/>
  <c r="I21" i="8"/>
  <c r="J21" i="8"/>
  <c r="D20" i="8"/>
  <c r="E20" i="8"/>
  <c r="B14" i="8" a="1"/>
  <c r="B14" i="8" s="1"/>
  <c r="J15" i="8"/>
  <c r="I15" i="8"/>
  <c r="H15" i="8"/>
  <c r="G15" i="8"/>
  <c r="F15" i="8"/>
  <c r="G9" i="8"/>
  <c r="H9" i="8"/>
  <c r="I9" i="8"/>
  <c r="J9" i="8"/>
  <c r="F9" i="8"/>
  <c r="B8" i="8" a="1"/>
  <c r="B8" i="8" s="1"/>
  <c r="D6" i="8"/>
  <c r="E6" i="8" s="1"/>
  <c r="F6" i="8" s="1"/>
  <c r="G6" i="8" s="1"/>
  <c r="H6" i="8" s="1"/>
  <c r="I6" i="8" s="1"/>
  <c r="J6" i="8" s="1"/>
  <c r="G17" i="11" l="1"/>
  <c r="F33" i="12"/>
  <c r="E25" i="12"/>
  <c r="E33" i="12"/>
  <c r="F6" i="11"/>
  <c r="D25" i="12"/>
  <c r="E14" i="14"/>
  <c r="E15" i="14"/>
  <c r="E27" i="8"/>
  <c r="E21" i="8"/>
  <c r="D21" i="8"/>
  <c r="C33" i="8"/>
  <c r="E33" i="8"/>
  <c r="E39" i="8"/>
  <c r="F40" i="8" s="1"/>
  <c r="D33" i="8"/>
  <c r="F8" i="8"/>
  <c r="F32" i="8" s="1"/>
  <c r="D15" i="8"/>
  <c r="C21" i="8"/>
  <c r="E15" i="8"/>
  <c r="C27" i="8"/>
  <c r="D45" i="8"/>
  <c r="D27" i="8"/>
  <c r="F5" i="14"/>
  <c r="G5" i="14" s="1"/>
  <c r="H5" i="14" s="1"/>
  <c r="I5" i="14" s="1"/>
  <c r="J5" i="14" s="1"/>
  <c r="C45" i="8"/>
  <c r="E45" i="8"/>
  <c r="C39" i="8"/>
  <c r="D39" i="8"/>
  <c r="F14" i="8"/>
  <c r="G14" i="8" s="1"/>
  <c r="H14" i="8" s="1"/>
  <c r="I14" i="8" s="1"/>
  <c r="J14" i="8" s="1"/>
  <c r="D9" i="8"/>
  <c r="E9" i="8"/>
  <c r="L18" i="2"/>
  <c r="L20" i="2" s="1"/>
  <c r="K18" i="2"/>
  <c r="K20" i="2" s="1"/>
  <c r="J18" i="2"/>
  <c r="F16" i="2"/>
  <c r="E16" i="2"/>
  <c r="D16" i="2"/>
  <c r="L9" i="2"/>
  <c r="K9" i="2"/>
  <c r="J9" i="2"/>
  <c r="C18" i="11" s="1" a="1"/>
  <c r="C18" i="11" s="1"/>
  <c r="F9" i="2"/>
  <c r="F20" i="2" s="1"/>
  <c r="E9" i="2"/>
  <c r="D9" i="2"/>
  <c r="D20" i="2" s="1"/>
  <c r="E7" i="1"/>
  <c r="E15" i="1" s="1"/>
  <c r="E19" i="1" s="1"/>
  <c r="E24" i="1" s="1"/>
  <c r="E28" i="1" s="1"/>
  <c r="D7" i="1"/>
  <c r="D15" i="1" s="1"/>
  <c r="D19" i="1" s="1"/>
  <c r="D24" i="1" s="1"/>
  <c r="D28" i="1" s="1"/>
  <c r="C7" i="1"/>
  <c r="C15" i="1" s="1"/>
  <c r="C19" i="1" s="1"/>
  <c r="C24" i="1" s="1"/>
  <c r="C28" i="1" s="1"/>
  <c r="G6" i="11" l="1"/>
  <c r="F25" i="12"/>
  <c r="E20" i="2"/>
  <c r="K23" i="2" s="1"/>
  <c r="J20" i="2"/>
  <c r="J23" i="2" s="1"/>
  <c r="H17" i="11"/>
  <c r="G33" i="12"/>
  <c r="F20" i="8"/>
  <c r="G8" i="8"/>
  <c r="F26" i="8"/>
  <c r="F41" i="8"/>
  <c r="F42" i="8" s="1"/>
  <c r="F39" i="8"/>
  <c r="D7" i="9" a="1"/>
  <c r="D7" i="9" s="1"/>
  <c r="F45" i="8"/>
  <c r="L23" i="2"/>
  <c r="H6" i="11" l="1"/>
  <c r="G25" i="12"/>
  <c r="I17" i="11"/>
  <c r="H33" i="12"/>
  <c r="H8" i="8"/>
  <c r="G26" i="8"/>
  <c r="G20" i="8"/>
  <c r="G32" i="8"/>
  <c r="F38" i="8"/>
  <c r="G40" i="8"/>
  <c r="F44" i="8"/>
  <c r="J17" i="11" l="1"/>
  <c r="J33" i="12" s="1"/>
  <c r="I33" i="12"/>
  <c r="I6" i="11"/>
  <c r="H25" i="12"/>
  <c r="G39" i="8"/>
  <c r="G41" i="8"/>
  <c r="G42" i="8" s="1"/>
  <c r="I8" i="8"/>
  <c r="H20" i="8"/>
  <c r="H32" i="8"/>
  <c r="H26" i="8"/>
  <c r="G45" i="8"/>
  <c r="J6" i="11" l="1"/>
  <c r="J25" i="12" s="1"/>
  <c r="I25" i="12"/>
  <c r="J8" i="8"/>
  <c r="I20" i="8"/>
  <c r="I32" i="8"/>
  <c r="I26" i="8"/>
  <c r="H40" i="8"/>
  <c r="G38" i="8"/>
  <c r="G44" i="8"/>
  <c r="H41" i="8" l="1"/>
  <c r="H42" i="8" s="1"/>
  <c r="H39" i="8"/>
  <c r="J20" i="8"/>
  <c r="D9" i="9" s="1" a="1"/>
  <c r="J32" i="8"/>
  <c r="D13" i="9" s="1" a="1"/>
  <c r="J26" i="8"/>
  <c r="D11" i="9" s="1" a="1"/>
  <c r="D11" i="9" s="1"/>
  <c r="D6" i="9" a="1"/>
  <c r="H45" i="8"/>
  <c r="D6" i="9" l="1"/>
  <c r="C16" i="10"/>
  <c r="I8" i="9"/>
  <c r="I10" i="9" s="1"/>
  <c r="I12" i="9" s="1"/>
  <c r="I14" i="9" s="1"/>
  <c r="J8" i="9"/>
  <c r="J10" i="9" s="1"/>
  <c r="J12" i="9" s="1"/>
  <c r="J14" i="9" s="1"/>
  <c r="H8" i="9"/>
  <c r="H10" i="9" s="1"/>
  <c r="H12" i="9" s="1"/>
  <c r="H14" i="9" s="1"/>
  <c r="D22" i="10"/>
  <c r="K8" i="9"/>
  <c r="K10" i="9" s="1"/>
  <c r="K12" i="9" s="1"/>
  <c r="K14" i="9" s="1"/>
  <c r="E22" i="10"/>
  <c r="D19" i="10"/>
  <c r="D16" i="10"/>
  <c r="L8" i="9"/>
  <c r="L10" i="9" s="1"/>
  <c r="L12" i="9" s="1"/>
  <c r="L14" i="9" s="1"/>
  <c r="C22" i="10"/>
  <c r="E19" i="10"/>
  <c r="E16" i="10"/>
  <c r="E8" i="9"/>
  <c r="E10" i="9" s="1"/>
  <c r="E12" i="9" s="1"/>
  <c r="E14" i="9" s="1"/>
  <c r="C7" i="10"/>
  <c r="C19" i="10"/>
  <c r="D7" i="10"/>
  <c r="F8" i="9"/>
  <c r="F10" i="9" s="1"/>
  <c r="F12" i="9" s="1"/>
  <c r="F14" i="9" s="1"/>
  <c r="E7" i="10"/>
  <c r="G8" i="9"/>
  <c r="G10" i="9" s="1"/>
  <c r="G12" i="9" s="1"/>
  <c r="G14" i="9" s="1"/>
  <c r="D9" i="9"/>
  <c r="C10" i="10"/>
  <c r="F10" i="10" s="1"/>
  <c r="D13" i="10"/>
  <c r="E13" i="10"/>
  <c r="C13" i="10"/>
  <c r="E10" i="10"/>
  <c r="D10" i="10"/>
  <c r="I40" i="8"/>
  <c r="H38" i="8"/>
  <c r="D13" i="9"/>
  <c r="C11" i="12" a="1"/>
  <c r="C11" i="12" s="1"/>
  <c r="H44" i="8"/>
  <c r="F7" i="10" l="1"/>
  <c r="F6" i="10" s="1"/>
  <c r="B6" i="12" a="1"/>
  <c r="F9" i="10"/>
  <c r="G10" i="10"/>
  <c r="I39" i="8"/>
  <c r="I41" i="8"/>
  <c r="I42" i="8" s="1"/>
  <c r="F16" i="10"/>
  <c r="F22" i="10"/>
  <c r="F13" i="10"/>
  <c r="F19" i="10"/>
  <c r="I45" i="8"/>
  <c r="G7" i="10" l="1"/>
  <c r="H7" i="10" s="1"/>
  <c r="G16" i="10"/>
  <c r="F15" i="10"/>
  <c r="B6" i="12"/>
  <c r="H10" i="10"/>
  <c r="G9" i="10"/>
  <c r="G22" i="10"/>
  <c r="F21" i="10"/>
  <c r="I38" i="8"/>
  <c r="J40" i="8"/>
  <c r="G19" i="10"/>
  <c r="F18" i="10"/>
  <c r="F12" i="10"/>
  <c r="G13" i="10"/>
  <c r="I44" i="8"/>
  <c r="G6" i="10" l="1"/>
  <c r="H22" i="10"/>
  <c r="G21" i="10"/>
  <c r="I10" i="10"/>
  <c r="H9" i="10"/>
  <c r="H13" i="10"/>
  <c r="G12" i="10"/>
  <c r="G18" i="10"/>
  <c r="H19" i="10"/>
  <c r="I7" i="10"/>
  <c r="H6" i="10"/>
  <c r="J41" i="8"/>
  <c r="J42" i="8" s="1"/>
  <c r="J39" i="8"/>
  <c r="J38" i="8" s="1"/>
  <c r="D15" i="9" s="1" a="1"/>
  <c r="G15" i="10"/>
  <c r="H16" i="10"/>
  <c r="J45" i="8"/>
  <c r="J44" i="8" s="1"/>
  <c r="D16" i="9" s="1" a="1"/>
  <c r="J7" i="10" l="1"/>
  <c r="J6" i="10" s="1"/>
  <c r="I6" i="10"/>
  <c r="I19" i="10"/>
  <c r="H18" i="10"/>
  <c r="I16" i="10"/>
  <c r="H15" i="10"/>
  <c r="I22" i="10"/>
  <c r="H21" i="10"/>
  <c r="D16" i="9"/>
  <c r="B27" i="12" a="1"/>
  <c r="B27" i="12" s="1"/>
  <c r="H12" i="10"/>
  <c r="I13" i="10"/>
  <c r="J10" i="10"/>
  <c r="J9" i="10" s="1"/>
  <c r="I9" i="10"/>
  <c r="D15" i="9"/>
  <c r="B31" i="12" a="1"/>
  <c r="J17" i="9"/>
  <c r="F17" i="9"/>
  <c r="K17" i="9"/>
  <c r="I17" i="9"/>
  <c r="L17" i="9"/>
  <c r="H17" i="9"/>
  <c r="E17" i="9"/>
  <c r="G17" i="9"/>
  <c r="B10" i="11" l="1" a="1"/>
  <c r="E15" i="12" s="1"/>
  <c r="B9" i="11" a="1"/>
  <c r="B9" i="11" s="1"/>
  <c r="F15" i="12"/>
  <c r="D15" i="12"/>
  <c r="J19" i="10"/>
  <c r="J18" i="10" s="1"/>
  <c r="I18" i="10"/>
  <c r="I12" i="10"/>
  <c r="J13" i="10"/>
  <c r="J12" i="10" s="1"/>
  <c r="F20" i="9"/>
  <c r="D34" i="12" s="1"/>
  <c r="F19" i="9"/>
  <c r="G20" i="9"/>
  <c r="E34" i="12" s="1"/>
  <c r="G19" i="9"/>
  <c r="E20" i="9"/>
  <c r="E19" i="9"/>
  <c r="B31" i="12"/>
  <c r="J22" i="10"/>
  <c r="J21" i="10" s="1"/>
  <c r="I21" i="10"/>
  <c r="J16" i="10"/>
  <c r="J15" i="10" s="1"/>
  <c r="I15" i="10"/>
  <c r="B16" i="11" l="1" a="1"/>
  <c r="J15" i="12"/>
  <c r="H15" i="12"/>
  <c r="G15" i="12"/>
  <c r="B10" i="11"/>
  <c r="B14" i="12" s="1" a="1"/>
  <c r="B14" i="12" s="1"/>
  <c r="I15" i="12"/>
  <c r="H14" i="12"/>
  <c r="G14" i="12"/>
  <c r="F14" i="12"/>
  <c r="E14" i="12"/>
  <c r="D14" i="12"/>
  <c r="J14" i="12"/>
  <c r="I14" i="12"/>
  <c r="B7" i="11" a="1"/>
  <c r="H23" i="12" s="1"/>
  <c r="B15" i="11" a="1"/>
  <c r="D19" i="11" s="1"/>
  <c r="B11" i="11" a="1"/>
  <c r="D19" i="12" s="1"/>
  <c r="B16" i="11"/>
  <c r="B20" i="12" s="1"/>
  <c r="H20" i="12"/>
  <c r="I20" i="12"/>
  <c r="J20" i="12"/>
  <c r="D20" i="12"/>
  <c r="G20" i="12"/>
  <c r="E20" i="12"/>
  <c r="F20" i="12"/>
  <c r="H19" i="9"/>
  <c r="B11" i="11" l="1"/>
  <c r="B19" i="12" s="1"/>
  <c r="H19" i="12"/>
  <c r="J19" i="12"/>
  <c r="J21" i="12" s="1"/>
  <c r="I19" i="12"/>
  <c r="I21" i="12" s="1"/>
  <c r="G19" i="12"/>
  <c r="G21" i="12" s="1"/>
  <c r="F19" i="12"/>
  <c r="F21" i="12" s="1"/>
  <c r="G23" i="12"/>
  <c r="E19" i="12"/>
  <c r="C13" i="11"/>
  <c r="D21" i="12"/>
  <c r="I16" i="12"/>
  <c r="I17" i="12" s="1"/>
  <c r="E13" i="11"/>
  <c r="E23" i="12"/>
  <c r="C19" i="11"/>
  <c r="J23" i="12"/>
  <c r="I23" i="12"/>
  <c r="B7" i="11"/>
  <c r="H16" i="12"/>
  <c r="H17" i="12" s="1"/>
  <c r="D23" i="12"/>
  <c r="E16" i="12"/>
  <c r="E17" i="12" s="1"/>
  <c r="G16" i="12"/>
  <c r="G17" i="12" s="1"/>
  <c r="J16" i="12"/>
  <c r="J17" i="12" s="1"/>
  <c r="F23" i="12"/>
  <c r="H21" i="12"/>
  <c r="D13" i="11"/>
  <c r="D21" i="11" s="1"/>
  <c r="F16" i="12"/>
  <c r="F17" i="12" s="1"/>
  <c r="B15" i="11"/>
  <c r="B16" i="12" s="1"/>
  <c r="E19" i="11"/>
  <c r="D16" i="12"/>
  <c r="D17" i="12" s="1"/>
  <c r="C21" i="11"/>
  <c r="E21" i="12"/>
  <c r="I19" i="9"/>
  <c r="H18" i="9"/>
  <c r="E21" i="11" l="1"/>
  <c r="H20" i="9"/>
  <c r="F18" i="11" s="1"/>
  <c r="J19" i="9"/>
  <c r="I18" i="9"/>
  <c r="K19" i="9" l="1"/>
  <c r="J18" i="9"/>
  <c r="I20" i="9"/>
  <c r="G18" i="11"/>
  <c r="F34" i="12"/>
  <c r="F19" i="11"/>
  <c r="G34" i="12" l="1"/>
  <c r="G19" i="11"/>
  <c r="J20" i="9"/>
  <c r="H18" i="11" s="1"/>
  <c r="L19" i="9"/>
  <c r="L18" i="9" s="1"/>
  <c r="K18" i="9"/>
  <c r="B7" i="12" a="1"/>
  <c r="H34" i="12" l="1"/>
  <c r="H19" i="11"/>
  <c r="B7" i="12"/>
  <c r="F8" i="12"/>
  <c r="G8" i="12"/>
  <c r="H8" i="12"/>
  <c r="I8" i="12"/>
  <c r="I9" i="12" s="1"/>
  <c r="I12" i="12" s="1"/>
  <c r="I29" i="12" s="1"/>
  <c r="E8" i="12"/>
  <c r="J8" i="12"/>
  <c r="J9" i="12" s="1"/>
  <c r="J12" i="12" s="1"/>
  <c r="J29" i="12" s="1"/>
  <c r="C8" i="12"/>
  <c r="D8" i="12"/>
  <c r="K20" i="9"/>
  <c r="I18" i="11" s="1"/>
  <c r="L20" i="9"/>
  <c r="J32" i="12" l="1"/>
  <c r="J18" i="11"/>
  <c r="I34" i="12"/>
  <c r="I19" i="11"/>
  <c r="H9" i="12"/>
  <c r="H12" i="12" s="1"/>
  <c r="H29" i="12" s="1"/>
  <c r="H32" i="12"/>
  <c r="G9" i="12"/>
  <c r="G12" i="12" s="1"/>
  <c r="G29" i="12" s="1"/>
  <c r="G32" i="12"/>
  <c r="D32" i="12"/>
  <c r="D9" i="12"/>
  <c r="D12" i="12" s="1"/>
  <c r="D29" i="12" s="1"/>
  <c r="I32" i="12"/>
  <c r="F9" i="12"/>
  <c r="F12" i="12" s="1"/>
  <c r="F29" i="12" s="1"/>
  <c r="F32" i="12"/>
  <c r="C32" i="12"/>
  <c r="C9" i="12"/>
  <c r="C12" i="12" s="1"/>
  <c r="E32" i="12"/>
  <c r="E9" i="12"/>
  <c r="E12" i="12" s="1"/>
  <c r="E29" i="12" s="1"/>
  <c r="I35" i="12" l="1"/>
  <c r="G35" i="12"/>
  <c r="D35" i="12"/>
  <c r="D36" i="12" s="1"/>
  <c r="E35" i="12"/>
  <c r="E36" i="12" s="1"/>
  <c r="H35" i="12"/>
  <c r="F35" i="12"/>
  <c r="B7" i="14" a="1"/>
  <c r="J34" i="12"/>
  <c r="J35" i="12" s="1"/>
  <c r="J19" i="11"/>
  <c r="F36" i="12" l="1"/>
  <c r="G36" i="12" s="1"/>
  <c r="B7" i="14"/>
  <c r="G9" i="14"/>
  <c r="I9" i="14"/>
  <c r="J9" i="14"/>
  <c r="E11" i="14" s="1"/>
  <c r="E12" i="14" s="1"/>
  <c r="H9" i="14"/>
  <c r="F9" i="14"/>
  <c r="H36" i="12" l="1"/>
  <c r="I36" i="12" s="1"/>
  <c r="J36" i="12" s="1"/>
  <c r="F12" i="11" a="1"/>
  <c r="F12" i="11" s="1"/>
  <c r="F13" i="11" s="1"/>
  <c r="F21" i="11" s="1"/>
  <c r="E10" i="14"/>
  <c r="E13" i="14" s="1"/>
  <c r="E16" i="14" s="1"/>
  <c r="I13" i="11"/>
  <c r="I21" i="11" s="1"/>
  <c r="J13" i="11"/>
  <c r="J21" i="11" s="1"/>
  <c r="H13" i="11"/>
  <c r="H21" i="11" s="1"/>
  <c r="G13" i="11"/>
  <c r="G21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<sst xmlns="http://schemas.openxmlformats.org/spreadsheetml/2006/main" count="177" uniqueCount="93">
  <si>
    <t>P&amp;L source</t>
  </si>
  <si>
    <t>USD in thousands</t>
  </si>
  <si>
    <t>2016
Act</t>
  </si>
  <si>
    <t>2017
Act</t>
  </si>
  <si>
    <t>2018
Act</t>
  </si>
  <si>
    <t>Revenue from sales and services</t>
  </si>
  <si>
    <t>Other revenue</t>
  </si>
  <si>
    <t>Revenue</t>
  </si>
  <si>
    <t>Raw materials</t>
  </si>
  <si>
    <t>Direct costs</t>
  </si>
  <si>
    <t>Cost for services</t>
  </si>
  <si>
    <t>Lease costs</t>
  </si>
  <si>
    <t>Other operating expenses</t>
  </si>
  <si>
    <t>EBITDA</t>
  </si>
  <si>
    <t>D&amp;A</t>
  </si>
  <si>
    <t>EBIT</t>
  </si>
  <si>
    <t>Financial income/expenses</t>
  </si>
  <si>
    <t>Extraordinary income</t>
  </si>
  <si>
    <t>EBT</t>
  </si>
  <si>
    <t>Taxes</t>
  </si>
  <si>
    <t>Net Income</t>
  </si>
  <si>
    <t>BS source</t>
  </si>
  <si>
    <t>31Dec16
Act</t>
  </si>
  <si>
    <t>31Dec17
Act</t>
  </si>
  <si>
    <t>31Dec18
Act</t>
  </si>
  <si>
    <t>Intangible assets</t>
  </si>
  <si>
    <t>Share Capital</t>
  </si>
  <si>
    <t>PP&amp;E</t>
  </si>
  <si>
    <t>Reserves</t>
  </si>
  <si>
    <t>Financial assets</t>
  </si>
  <si>
    <t>Retained earnings</t>
  </si>
  <si>
    <t>Profit/(loss) for the year</t>
  </si>
  <si>
    <t>Fixed assets</t>
  </si>
  <si>
    <t>Total Equity</t>
  </si>
  <si>
    <t>Inventory</t>
  </si>
  <si>
    <t>Trade payable</t>
  </si>
  <si>
    <t>Trade receivables</t>
  </si>
  <si>
    <t>Other liabilities</t>
  </si>
  <si>
    <t>Other assets</t>
  </si>
  <si>
    <t>Deferred taxes</t>
  </si>
  <si>
    <t>Provisions for retirement benefits</t>
  </si>
  <si>
    <t>Cash and equivalents</t>
  </si>
  <si>
    <t>Non fixed assets</t>
  </si>
  <si>
    <t>Bank borrowings</t>
  </si>
  <si>
    <t>Other Financial liabilities</t>
  </si>
  <si>
    <t>Total Liabilities</t>
  </si>
  <si>
    <t>Total Assets</t>
  </si>
  <si>
    <t>Total Liabilities &amp; Equity</t>
  </si>
  <si>
    <t>P&amp;L Assumption</t>
  </si>
  <si>
    <t>Actual</t>
  </si>
  <si>
    <t>Forecast</t>
  </si>
  <si>
    <t>YoY Growth</t>
  </si>
  <si>
    <t>Case 1</t>
  </si>
  <si>
    <t>Case 2</t>
  </si>
  <si>
    <t>Case 3</t>
  </si>
  <si>
    <t xml:space="preserve">Case </t>
  </si>
  <si>
    <t>COGS</t>
  </si>
  <si>
    <t>As % of Sales</t>
  </si>
  <si>
    <t>Other Expenses</t>
  </si>
  <si>
    <t>Interest Expense</t>
  </si>
  <si>
    <t>Total Revenue</t>
  </si>
  <si>
    <t>Gross Profit</t>
  </si>
  <si>
    <t>Tax</t>
  </si>
  <si>
    <t>As % of EBT</t>
  </si>
  <si>
    <t>Cash Flow Statement</t>
  </si>
  <si>
    <t>NOPAT</t>
  </si>
  <si>
    <t>Add Back Depreciation</t>
  </si>
  <si>
    <t>BS Assumption</t>
  </si>
  <si>
    <t>DSO</t>
  </si>
  <si>
    <t>DIO</t>
  </si>
  <si>
    <t>DPO</t>
  </si>
  <si>
    <t>Balance Sheet</t>
  </si>
  <si>
    <t>Financial Liabilities</t>
  </si>
  <si>
    <t>Check</t>
  </si>
  <si>
    <t>Gross Cash Flows</t>
  </si>
  <si>
    <t>Investments in Working Capital</t>
  </si>
  <si>
    <t>Investments in Other Assets</t>
  </si>
  <si>
    <t>CapEx</t>
  </si>
  <si>
    <t>Other Investments</t>
  </si>
  <si>
    <t>UFCF</t>
  </si>
  <si>
    <t>Tax Reversed</t>
  </si>
  <si>
    <t>Net Cash Flows</t>
  </si>
  <si>
    <t>PV of UFCF</t>
  </si>
  <si>
    <t>WACC</t>
  </si>
  <si>
    <t>G</t>
  </si>
  <si>
    <t>Valuation</t>
  </si>
  <si>
    <t>PV of All Cash Flows</t>
  </si>
  <si>
    <t>Horizon Value</t>
  </si>
  <si>
    <t>PV of HV</t>
  </si>
  <si>
    <t>Enterprize Value</t>
  </si>
  <si>
    <t>Cash</t>
  </si>
  <si>
    <t>Equity Values</t>
  </si>
  <si>
    <t xml:space="preserve">Statement of Profit or Loss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</si>
</sst>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_);_(* \(#,##0.0\);_(* &quot;-&quot;?_);@_)"/>
    <numFmt numFmtId="165" formatCode="_(* #,##0_);_(* \(#,##0\);_(* &quot;-&quot;?_);@_)"/>
    <numFmt numFmtId="166" formatCode="_(* #,##0.00_);_(* \(#,##0.00\);_(* &quot;-&quot;?_);@_)"/>
    <numFmt numFmtId="167" formatCode="&quot;FY &quot;0"/>
    <numFmt numFmtId="168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7367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367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6">
    <xf numFmtId="0" fontId="0" fillId="0" borderId="0" xfId="0"/>
    <xf numFmtId="164" fontId="1" fillId="2" borderId="0" xfId="0" applyNumberFormat="1" applyFont="1" applyFill="1"/>
    <xf numFmtId="164" fontId="2" fillId="2" borderId="0" xfId="0" applyNumberFormat="1" applyFont="1" applyFill="1"/>
    <xf numFmtId="164" fontId="3" fillId="2" borderId="1" xfId="0" applyNumberFormat="1" applyFont="1" applyFill="1" applyBorder="1"/>
    <xf numFmtId="164" fontId="3" fillId="2" borderId="1" xfId="0" applyNumberFormat="1" applyFont="1" applyFill="1" applyBorder="1" applyAlignment="1">
      <alignment horizontal="right" wrapText="1"/>
    </xf>
    <xf numFmtId="165" fontId="2" fillId="2" borderId="0" xfId="0" applyNumberFormat="1" applyFont="1" applyFill="1"/>
    <xf numFmtId="166" fontId="2" fillId="2" borderId="0" xfId="0" applyNumberFormat="1" applyFont="1" applyFill="1"/>
    <xf numFmtId="164" fontId="3" fillId="2" borderId="2" xfId="0" applyNumberFormat="1" applyFont="1" applyFill="1" applyBorder="1"/>
    <xf numFmtId="165" fontId="3" fillId="2" borderId="2" xfId="0" applyNumberFormat="1" applyFont="1" applyFill="1" applyBorder="1"/>
    <xf numFmtId="164" fontId="3" fillId="2" borderId="3" xfId="0" applyNumberFormat="1" applyFont="1" applyFill="1" applyBorder="1"/>
    <xf numFmtId="165" fontId="3" fillId="2" borderId="3" xfId="0" applyNumberFormat="1" applyFont="1" applyFill="1" applyBorder="1"/>
    <xf numFmtId="164" fontId="2" fillId="2" borderId="3" xfId="0" applyNumberFormat="1" applyFont="1" applyFill="1" applyBorder="1"/>
    <xf numFmtId="165" fontId="2" fillId="2" borderId="3" xfId="0" applyNumberFormat="1" applyFont="1" applyFill="1" applyBorder="1"/>
    <xf numFmtId="0" fontId="5" fillId="3" borderId="0" xfId="0" applyFont="1" applyFill="1"/>
    <xf numFmtId="167" fontId="5" fillId="3" borderId="0" xfId="0" applyNumberFormat="1" applyFont="1" applyFill="1"/>
    <xf numFmtId="10" fontId="0" fillId="0" borderId="0" xfId="2" applyNumberFormat="1" applyFont="1"/>
    <xf numFmtId="0" fontId="0" fillId="4" borderId="0" xfId="0" applyFill="1"/>
    <xf numFmtId="9" fontId="0" fillId="0" borderId="0" xfId="0" applyNumberFormat="1"/>
    <xf numFmtId="168" fontId="0" fillId="0" borderId="0" xfId="1" applyNumberFormat="1" applyFont="1"/>
    <xf numFmtId="10" fontId="0" fillId="0" borderId="0" xfId="0" applyNumberFormat="1"/>
    <xf numFmtId="0" fontId="6" fillId="0" borderId="2" xfId="0" applyFont="1" applyBorder="1"/>
    <xf numFmtId="168" fontId="6" fillId="0" borderId="2" xfId="1" applyNumberFormat="1" applyFont="1" applyBorder="1"/>
    <xf numFmtId="0" fontId="6" fillId="0" borderId="0" xfId="0" applyFont="1"/>
    <xf numFmtId="0" fontId="7" fillId="0" borderId="0" xfId="0" applyFont="1"/>
    <xf numFmtId="0" fontId="0" fillId="4" borderId="0" xfId="0" applyFill="1" applyAlignment="1">
      <alignment horizontal="right"/>
    </xf>
    <xf numFmtId="164" fontId="2" fillId="0" borderId="0" xfId="0" applyNumberFormat="1" applyFont="1"/>
    <xf numFmtId="164" fontId="3" fillId="0" borderId="2" xfId="0" applyNumberFormat="1" applyFont="1" applyBorder="1"/>
    <xf numFmtId="10" fontId="0" fillId="4" borderId="0" xfId="0" applyNumberFormat="1" applyFill="1"/>
    <xf numFmtId="43" fontId="0" fillId="0" borderId="0" xfId="1" applyFont="1"/>
    <xf numFmtId="10" fontId="0" fillId="0" borderId="0" xfId="1" applyNumberFormat="1" applyFont="1"/>
    <xf numFmtId="168" fontId="6" fillId="0" borderId="0" xfId="1" applyNumberFormat="1" applyFont="1"/>
    <xf numFmtId="168" fontId="0" fillId="4" borderId="0" xfId="1" applyNumberFormat="1" applyFont="1" applyFill="1"/>
    <xf numFmtId="168" fontId="0" fillId="4" borderId="2" xfId="1" applyNumberFormat="1" applyFont="1" applyFill="1" applyBorder="1"/>
    <xf numFmtId="0" fontId="6" fillId="5" borderId="2" xfId="0" applyFont="1" applyFill="1" applyBorder="1"/>
    <xf numFmtId="168" fontId="0" fillId="5" borderId="2" xfId="1" applyNumberFormat="1" applyFont="1" applyFill="1" applyBorder="1"/>
    <xf numFmtId="168" fontId="6" fillId="5" borderId="2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F5D3-A689-461A-9466-865358A4C256}">
  <sheetPr>
    <pageSetUpPr fitToPage="1"/>
  </sheetPr>
  <dimension ref="B1:L28"/>
  <sheetViews>
    <sheetView showGridLines="0" zoomScale="136" zoomScaleNormal="190" workbookViewId="0"/>
  </sheetViews>
  <sheetFormatPr defaultColWidth="9.109375" defaultRowHeight="11.4" x14ac:dyDescent="0.2"/>
  <cols>
    <col min="1" max="1" width="2" style="2" customWidth="1"/>
    <col min="2" max="2" width="27.88671875" style="2" bestFit="1" customWidth="1"/>
    <col min="3" max="5" width="10.5546875" style="2" bestFit="1" customWidth="1"/>
    <col min="6" max="16384" width="9.109375" style="2"/>
  </cols>
  <sheetData>
    <row r="1" spans="2:12" customFormat="1" ht="14.4" x14ac:dyDescent="0.3"/>
    <row r="2" spans="2:12" ht="15.6" x14ac:dyDescent="0.3">
      <c r="B2" s="1" t="s">
        <v>0</v>
      </c>
    </row>
    <row r="4" spans="2:12" ht="24" x14ac:dyDescent="0.25">
      <c r="B4" s="3" t="s">
        <v>1</v>
      </c>
      <c r="C4" s="4" t="s">
        <v>2</v>
      </c>
      <c r="D4" s="4" t="s">
        <v>3</v>
      </c>
      <c r="E4" s="4" t="s">
        <v>4</v>
      </c>
    </row>
    <row r="5" spans="2:12" x14ac:dyDescent="0.2">
      <c r="B5" s="25" t="s">
        <v>5</v>
      </c>
      <c r="C5" s="5">
        <v>177203</v>
      </c>
      <c r="D5" s="5">
        <v>188618</v>
      </c>
      <c r="E5" s="5">
        <v>208366</v>
      </c>
    </row>
    <row r="6" spans="2:12" x14ac:dyDescent="0.2">
      <c r="B6" s="25" t="s">
        <v>6</v>
      </c>
      <c r="C6" s="5">
        <v>3520</v>
      </c>
      <c r="D6" s="5">
        <v>2416</v>
      </c>
      <c r="E6" s="5">
        <v>2585</v>
      </c>
      <c r="I6" s="6"/>
      <c r="J6" s="6"/>
      <c r="K6" s="6"/>
      <c r="L6" s="6"/>
    </row>
    <row r="7" spans="2:12" ht="12" x14ac:dyDescent="0.25">
      <c r="B7" s="26" t="s">
        <v>7</v>
      </c>
      <c r="C7" s="8">
        <f>C5+C6</f>
        <v>180723</v>
      </c>
      <c r="D7" s="8">
        <f>D5+D6</f>
        <v>191034</v>
      </c>
      <c r="E7" s="8">
        <f>E5+E6</f>
        <v>210951</v>
      </c>
    </row>
    <row r="8" spans="2:12" x14ac:dyDescent="0.2">
      <c r="B8" s="25"/>
      <c r="C8" s="5"/>
      <c r="D8" s="5"/>
      <c r="E8" s="5"/>
    </row>
    <row r="9" spans="2:12" x14ac:dyDescent="0.2">
      <c r="B9" s="25" t="s">
        <v>8</v>
      </c>
      <c r="C9" s="5">
        <v>-139903.0394666667</v>
      </c>
      <c r="D9" s="5">
        <v>-138922.98879999999</v>
      </c>
      <c r="E9" s="5">
        <v>-150080.46882539699</v>
      </c>
    </row>
    <row r="10" spans="2:12" x14ac:dyDescent="0.2">
      <c r="B10" s="25" t="s">
        <v>9</v>
      </c>
      <c r="C10" s="5">
        <v>-2491.3280000000004</v>
      </c>
      <c r="D10" s="5">
        <v>-11649.177600000001</v>
      </c>
      <c r="E10" s="5">
        <v>-7442.6495999999997</v>
      </c>
    </row>
    <row r="11" spans="2:12" x14ac:dyDescent="0.2">
      <c r="B11" s="25" t="s">
        <v>10</v>
      </c>
      <c r="C11" s="5">
        <v>-16389.593600000004</v>
      </c>
      <c r="D11" s="5">
        <v>-17878.310399999998</v>
      </c>
      <c r="E11" s="5">
        <v>-22293.312000000005</v>
      </c>
    </row>
    <row r="12" spans="2:12" x14ac:dyDescent="0.2">
      <c r="B12" s="25" t="s">
        <v>11</v>
      </c>
      <c r="C12" s="5">
        <v>-290.72640000000007</v>
      </c>
      <c r="D12" s="5">
        <v>-246.13120000000004</v>
      </c>
      <c r="E12" s="5">
        <v>-120.92160000000001</v>
      </c>
    </row>
    <row r="13" spans="2:12" x14ac:dyDescent="0.2">
      <c r="B13" s="25" t="s">
        <v>12</v>
      </c>
      <c r="C13" s="5">
        <v>-1330.9952000000003</v>
      </c>
      <c r="D13" s="5">
        <v>-1123.4560000000001</v>
      </c>
      <c r="E13" s="5">
        <v>-1452.7744000000002</v>
      </c>
    </row>
    <row r="14" spans="2:12" x14ac:dyDescent="0.2">
      <c r="B14" s="25"/>
      <c r="C14" s="5"/>
      <c r="D14" s="5"/>
      <c r="E14" s="5"/>
    </row>
    <row r="15" spans="2:12" ht="12" x14ac:dyDescent="0.25">
      <c r="B15" s="26" t="s">
        <v>13</v>
      </c>
      <c r="C15" s="8">
        <f>C7+SUM(C9:C13)</f>
        <v>20317.317333333282</v>
      </c>
      <c r="D15" s="8">
        <f>D7+SUM(D9:D13)</f>
        <v>21213.936000000016</v>
      </c>
      <c r="E15" s="8">
        <f>E7+SUM(E9:E13)</f>
        <v>29560.873574603</v>
      </c>
    </row>
    <row r="16" spans="2:12" x14ac:dyDescent="0.2">
      <c r="B16" s="25"/>
      <c r="C16" s="5"/>
      <c r="D16" s="5"/>
      <c r="E16" s="5"/>
    </row>
    <row r="17" spans="2:5" x14ac:dyDescent="0.2">
      <c r="B17" s="25" t="s">
        <v>14</v>
      </c>
      <c r="C17" s="5">
        <v>-2907.8000000000006</v>
      </c>
      <c r="D17" s="5">
        <v>-4649.8</v>
      </c>
      <c r="E17" s="5">
        <v>-6430.6600000000008</v>
      </c>
    </row>
    <row r="18" spans="2:5" x14ac:dyDescent="0.2">
      <c r="C18" s="5"/>
      <c r="D18" s="5"/>
      <c r="E18" s="5"/>
    </row>
    <row r="19" spans="2:5" ht="12" x14ac:dyDescent="0.25">
      <c r="B19" s="7" t="s">
        <v>15</v>
      </c>
      <c r="C19" s="8">
        <f>C15+C17</f>
        <v>17409.517333333282</v>
      </c>
      <c r="D19" s="8">
        <f>D15+D17</f>
        <v>16564.136000000017</v>
      </c>
      <c r="E19" s="8">
        <f>E15+E17</f>
        <v>23130.213574603</v>
      </c>
    </row>
    <row r="20" spans="2:5" x14ac:dyDescent="0.2">
      <c r="C20" s="5"/>
      <c r="D20" s="5"/>
      <c r="E20" s="5"/>
    </row>
    <row r="21" spans="2:5" x14ac:dyDescent="0.2">
      <c r="B21" s="2" t="s">
        <v>16</v>
      </c>
      <c r="C21" s="5">
        <v>-1266.3000000000002</v>
      </c>
      <c r="D21" s="5">
        <v>-2190.9</v>
      </c>
      <c r="E21" s="5">
        <v>-2663.92</v>
      </c>
    </row>
    <row r="22" spans="2:5" x14ac:dyDescent="0.2">
      <c r="B22" s="2" t="s">
        <v>17</v>
      </c>
      <c r="C22" s="5">
        <v>-317.58000000000004</v>
      </c>
      <c r="D22" s="5">
        <v>-864.30000000000007</v>
      </c>
      <c r="E22" s="5">
        <v>-320.26</v>
      </c>
    </row>
    <row r="23" spans="2:5" x14ac:dyDescent="0.2">
      <c r="C23" s="5"/>
      <c r="D23" s="5"/>
      <c r="E23" s="5"/>
    </row>
    <row r="24" spans="2:5" ht="12" x14ac:dyDescent="0.25">
      <c r="B24" s="7" t="s">
        <v>18</v>
      </c>
      <c r="C24" s="8">
        <f>C19+C22+C21</f>
        <v>15825.637333333281</v>
      </c>
      <c r="D24" s="8">
        <f>D19+D22+D21</f>
        <v>13508.936000000018</v>
      </c>
      <c r="E24" s="8">
        <f>E19+E22+E21</f>
        <v>20146.033574603003</v>
      </c>
    </row>
    <row r="25" spans="2:5" x14ac:dyDescent="0.2">
      <c r="C25" s="5"/>
      <c r="D25" s="5"/>
      <c r="E25" s="5"/>
    </row>
    <row r="26" spans="2:5" x14ac:dyDescent="0.2">
      <c r="B26" s="2" t="s">
        <v>19</v>
      </c>
      <c r="C26" s="5">
        <v>-3805.7759999999998</v>
      </c>
      <c r="D26" s="5">
        <v>-3050.192</v>
      </c>
      <c r="E26" s="5">
        <v>-3814.88</v>
      </c>
    </row>
    <row r="27" spans="2:5" x14ac:dyDescent="0.2">
      <c r="C27" s="5"/>
      <c r="D27" s="5"/>
      <c r="E27" s="5"/>
    </row>
    <row r="28" spans="2:5" ht="12.6" thickBot="1" x14ac:dyDescent="0.3">
      <c r="B28" s="9" t="s">
        <v>20</v>
      </c>
      <c r="C28" s="10">
        <f>C24+C26</f>
        <v>12019.861333333281</v>
      </c>
      <c r="D28" s="10">
        <f>D24+D26</f>
        <v>10458.744000000017</v>
      </c>
      <c r="E28" s="10">
        <f>E24+E26</f>
        <v>16331.153574603002</v>
      </c>
    </row>
  </sheetData>
  <pageMargins left="1" right="1" top="1" bottom="1" header="0.5" footer="0.5"/>
  <pageSetup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9890-942B-4266-B497-C6EC4F8D05E9}">
  <sheetPr>
    <pageSetUpPr fitToPage="1"/>
  </sheetPr>
  <dimension ref="B2:J48"/>
  <sheetViews>
    <sheetView showGridLines="0" zoomScale="107" workbookViewId="0">
      <selection activeCell="B48" sqref="B1:J48"/>
    </sheetView>
  </sheetViews>
  <sheetFormatPr defaultRowHeight="14.4" x14ac:dyDescent="0.3"/>
  <cols>
    <col min="1" max="1" width="2" customWidth="1"/>
    <col min="2" max="2" width="28.5546875" bestFit="1" customWidth="1"/>
    <col min="3" max="21" width="15.77734375" customWidth="1"/>
  </cols>
  <sheetData>
    <row r="2" spans="2:10" ht="18" x14ac:dyDescent="0.35">
      <c r="B2" s="23" t="s">
        <v>48</v>
      </c>
    </row>
    <row r="3" spans="2:10" ht="18" x14ac:dyDescent="0.35">
      <c r="B3" s="23"/>
    </row>
    <row r="4" spans="2:10" x14ac:dyDescent="0.3">
      <c r="B4" s="13" t="s">
        <v>55</v>
      </c>
      <c r="C4" s="13">
        <v>1</v>
      </c>
    </row>
    <row r="6" spans="2:10" x14ac:dyDescent="0.3">
      <c r="B6" s="13"/>
      <c r="C6" s="14">
        <v>16</v>
      </c>
      <c r="D6" s="14">
        <f>C6+1</f>
        <v>17</v>
      </c>
      <c r="E6" s="14">
        <f t="shared" ref="E6:J6" si="0">D6+1</f>
        <v>18</v>
      </c>
      <c r="F6" s="14">
        <f t="shared" si="0"/>
        <v>19</v>
      </c>
      <c r="G6" s="14">
        <f t="shared" si="0"/>
        <v>20</v>
      </c>
      <c r="H6" s="14">
        <f t="shared" si="0"/>
        <v>21</v>
      </c>
      <c r="I6" s="14">
        <f t="shared" si="0"/>
        <v>22</v>
      </c>
      <c r="J6" s="14">
        <f t="shared" si="0"/>
        <v>23</v>
      </c>
    </row>
    <row r="7" spans="2:10" x14ac:dyDescent="0.3">
      <c r="B7" s="16"/>
      <c r="C7" s="24" t="s">
        <v>49</v>
      </c>
      <c r="D7" s="24" t="s">
        <v>49</v>
      </c>
      <c r="E7" s="24" t="s">
        <v>49</v>
      </c>
      <c r="F7" s="24" t="s">
        <v>50</v>
      </c>
      <c r="G7" s="24" t="s">
        <v>50</v>
      </c>
      <c r="H7" s="24" t="s">
        <v>50</v>
      </c>
      <c r="I7" s="24" t="s">
        <v>50</v>
      </c>
      <c r="J7" s="24" t="s">
        <v>50</v>
      </c>
    </row>
    <row r="8" spans="2:10" x14ac:dyDescent="0.3">
      <c r="B8" t="str" cm="1">
        <f t="array" ref="B8:E8">'P&amp;L source'!B5:E5</f>
        <v>Revenue from sales and services</v>
      </c>
      <c r="C8" s="18">
        <v>177203</v>
      </c>
      <c r="D8" s="18">
        <v>188618</v>
      </c>
      <c r="E8" s="18">
        <v>208366</v>
      </c>
      <c r="F8" s="18">
        <f>E8*(1+F9)</f>
        <v>229202.6</v>
      </c>
      <c r="G8" s="18">
        <f t="shared" ref="G8:J8" si="1">F8*(1+G9)</f>
        <v>252122.86000000002</v>
      </c>
      <c r="H8" s="18">
        <f t="shared" si="1"/>
        <v>277335.14600000007</v>
      </c>
      <c r="I8" s="18">
        <f t="shared" si="1"/>
        <v>305068.66060000012</v>
      </c>
      <c r="J8" s="18">
        <f t="shared" si="1"/>
        <v>335575.52666000015</v>
      </c>
    </row>
    <row r="9" spans="2:10" x14ac:dyDescent="0.3">
      <c r="B9" t="s">
        <v>51</v>
      </c>
      <c r="D9" s="19">
        <f>D8/C8-1</f>
        <v>6.4417645299458703E-2</v>
      </c>
      <c r="E9" s="19">
        <f>E8/D8-1</f>
        <v>0.10469838509580209</v>
      </c>
      <c r="F9" s="19">
        <f>CHOOSE($C$4,F10,F11,F12)</f>
        <v>0.1</v>
      </c>
      <c r="G9" s="19">
        <f t="shared" ref="G9:J9" si="2">CHOOSE($C$4,G10,G11,G12)</f>
        <v>0.1</v>
      </c>
      <c r="H9" s="19">
        <f t="shared" si="2"/>
        <v>0.1</v>
      </c>
      <c r="I9" s="19">
        <f t="shared" si="2"/>
        <v>0.1</v>
      </c>
      <c r="J9" s="19">
        <f t="shared" si="2"/>
        <v>0.1</v>
      </c>
    </row>
    <row r="10" spans="2:10" x14ac:dyDescent="0.3">
      <c r="B10" t="s">
        <v>52</v>
      </c>
      <c r="C10" s="16"/>
      <c r="D10" s="27"/>
      <c r="E10" s="27"/>
      <c r="F10" s="19">
        <v>0.1</v>
      </c>
      <c r="G10" s="19">
        <v>0.1</v>
      </c>
      <c r="H10" s="19">
        <v>0.1</v>
      </c>
      <c r="I10" s="19">
        <v>0.1</v>
      </c>
      <c r="J10" s="19">
        <v>0.1</v>
      </c>
    </row>
    <row r="11" spans="2:10" x14ac:dyDescent="0.3">
      <c r="B11" t="s">
        <v>53</v>
      </c>
      <c r="C11" s="16"/>
      <c r="D11" s="27"/>
      <c r="E11" s="27"/>
      <c r="F11" s="19">
        <v>0.08</v>
      </c>
      <c r="G11" s="19">
        <v>0.08</v>
      </c>
      <c r="H11" s="19">
        <v>0.08</v>
      </c>
      <c r="I11" s="19">
        <v>0.08</v>
      </c>
      <c r="J11" s="19">
        <v>0.08</v>
      </c>
    </row>
    <row r="12" spans="2:10" x14ac:dyDescent="0.3">
      <c r="B12" t="s">
        <v>54</v>
      </c>
      <c r="C12" s="16"/>
      <c r="D12" s="27"/>
      <c r="E12" s="27"/>
      <c r="F12" s="19">
        <v>0.06</v>
      </c>
      <c r="G12" s="19">
        <v>0.06</v>
      </c>
      <c r="H12" s="19">
        <v>0.06</v>
      </c>
      <c r="I12" s="19">
        <v>0.06</v>
      </c>
      <c r="J12" s="19">
        <v>0.06</v>
      </c>
    </row>
    <row r="14" spans="2:10" x14ac:dyDescent="0.3">
      <c r="B14" t="str" cm="1">
        <f t="array" ref="B14:E14">'P&amp;L source'!B6:E6</f>
        <v>Other revenue</v>
      </c>
      <c r="C14" s="18">
        <v>3520</v>
      </c>
      <c r="D14" s="18">
        <v>2416</v>
      </c>
      <c r="E14" s="18">
        <v>2585</v>
      </c>
      <c r="F14" s="18">
        <f>E14*(1+F15)</f>
        <v>2585</v>
      </c>
      <c r="G14" s="18">
        <f t="shared" ref="G14" si="3">F14*(1+G15)</f>
        <v>2585</v>
      </c>
      <c r="H14" s="18">
        <f t="shared" ref="H14" si="4">G14*(1+H15)</f>
        <v>2585</v>
      </c>
      <c r="I14" s="18">
        <f t="shared" ref="I14" si="5">H14*(1+I15)</f>
        <v>2585</v>
      </c>
      <c r="J14" s="18">
        <f t="shared" ref="J14" si="6">I14*(1+J15)</f>
        <v>2585</v>
      </c>
    </row>
    <row r="15" spans="2:10" x14ac:dyDescent="0.3">
      <c r="B15" t="s">
        <v>51</v>
      </c>
      <c r="D15" s="19">
        <f>D14/C14-1</f>
        <v>-0.3136363636363636</v>
      </c>
      <c r="E15" s="19">
        <f>E14/D14-1</f>
        <v>6.9950331125827825E-2</v>
      </c>
      <c r="F15" s="19">
        <f>CHOOSE($C$4,F16,F17,F18)</f>
        <v>0</v>
      </c>
      <c r="G15" s="19">
        <f t="shared" ref="G15" si="7">CHOOSE($C$4,G16,G17,G18)</f>
        <v>0</v>
      </c>
      <c r="H15" s="19">
        <f t="shared" ref="H15" si="8">CHOOSE($C$4,H16,H17,H18)</f>
        <v>0</v>
      </c>
      <c r="I15" s="19">
        <f t="shared" ref="I15" si="9">CHOOSE($C$4,I16,I17,I18)</f>
        <v>0</v>
      </c>
      <c r="J15" s="19">
        <f t="shared" ref="J15" si="10">CHOOSE($C$4,J16,J17,J18)</f>
        <v>0</v>
      </c>
    </row>
    <row r="16" spans="2:10" x14ac:dyDescent="0.3">
      <c r="B16" t="s">
        <v>52</v>
      </c>
      <c r="C16" s="16"/>
      <c r="D16" s="27"/>
      <c r="E16" s="27"/>
      <c r="F16" s="19">
        <v>0</v>
      </c>
      <c r="G16" s="19">
        <v>0</v>
      </c>
      <c r="H16" s="19">
        <v>0</v>
      </c>
      <c r="I16" s="19">
        <v>0</v>
      </c>
      <c r="J16" s="19">
        <v>0</v>
      </c>
    </row>
    <row r="17" spans="2:10" x14ac:dyDescent="0.3">
      <c r="B17" t="s">
        <v>53</v>
      </c>
      <c r="C17" s="16"/>
      <c r="D17" s="27"/>
      <c r="E17" s="27"/>
      <c r="F17" s="19">
        <v>0</v>
      </c>
      <c r="G17" s="19">
        <v>0</v>
      </c>
      <c r="H17" s="19">
        <v>0</v>
      </c>
      <c r="I17" s="19">
        <v>0</v>
      </c>
      <c r="J17" s="19">
        <v>0</v>
      </c>
    </row>
    <row r="18" spans="2:10" x14ac:dyDescent="0.3">
      <c r="B18" t="s">
        <v>54</v>
      </c>
      <c r="C18" s="16"/>
      <c r="D18" s="27"/>
      <c r="E18" s="27"/>
      <c r="F18" s="19">
        <v>0</v>
      </c>
      <c r="G18" s="19">
        <v>0</v>
      </c>
      <c r="H18" s="19">
        <v>0</v>
      </c>
      <c r="I18" s="19">
        <v>0</v>
      </c>
      <c r="J18" s="19">
        <v>0</v>
      </c>
    </row>
    <row r="20" spans="2:10" x14ac:dyDescent="0.3">
      <c r="B20" t="s">
        <v>56</v>
      </c>
      <c r="C20" s="18">
        <f>SUM('P&amp;L source'!C9:C11)</f>
        <v>-158783.9610666667</v>
      </c>
      <c r="D20" s="18">
        <f>SUM('P&amp;L source'!D9:D11)</f>
        <v>-168450.47679999997</v>
      </c>
      <c r="E20" s="18">
        <f>SUM('P&amp;L source'!E9:E11)</f>
        <v>-179816.430425397</v>
      </c>
      <c r="F20" s="18">
        <f>F21*F$8</f>
        <v>-194822.21</v>
      </c>
      <c r="G20" s="18">
        <f t="shared" ref="G20:J20" si="11">G21*G$8</f>
        <v>-214304.43100000001</v>
      </c>
      <c r="H20" s="18">
        <f t="shared" si="11"/>
        <v>-235734.87410000004</v>
      </c>
      <c r="I20" s="18">
        <f t="shared" si="11"/>
        <v>-259308.3615100001</v>
      </c>
      <c r="J20" s="18">
        <f t="shared" si="11"/>
        <v>-285239.19766100013</v>
      </c>
    </row>
    <row r="21" spans="2:10" x14ac:dyDescent="0.3">
      <c r="B21" t="s">
        <v>57</v>
      </c>
      <c r="C21" s="19">
        <f>C20/C$8</f>
        <v>-0.89605684478629988</v>
      </c>
      <c r="D21" s="19">
        <f t="shared" ref="D21:E21" si="12">D20/D$8</f>
        <v>-0.89307741997052226</v>
      </c>
      <c r="E21" s="19">
        <f t="shared" si="12"/>
        <v>-0.86298355022123097</v>
      </c>
      <c r="F21" s="19">
        <f>CHOOSE($C$4,F22,F23,F24)</f>
        <v>-0.85</v>
      </c>
      <c r="G21" s="19">
        <f t="shared" ref="G21:J21" si="13">CHOOSE($C$4,G22,G23,G24)</f>
        <v>-0.85</v>
      </c>
      <c r="H21" s="19">
        <f t="shared" si="13"/>
        <v>-0.85</v>
      </c>
      <c r="I21" s="19">
        <f t="shared" si="13"/>
        <v>-0.85</v>
      </c>
      <c r="J21" s="19">
        <f t="shared" si="13"/>
        <v>-0.85</v>
      </c>
    </row>
    <row r="22" spans="2:10" x14ac:dyDescent="0.3">
      <c r="B22" t="s">
        <v>52</v>
      </c>
      <c r="C22" s="27"/>
      <c r="D22" s="27"/>
      <c r="E22" s="27"/>
      <c r="F22" s="19">
        <v>-0.85</v>
      </c>
      <c r="G22" s="19">
        <v>-0.85</v>
      </c>
      <c r="H22" s="19">
        <v>-0.85</v>
      </c>
      <c r="I22" s="19">
        <v>-0.85</v>
      </c>
      <c r="J22" s="19">
        <v>-0.85</v>
      </c>
    </row>
    <row r="23" spans="2:10" x14ac:dyDescent="0.3">
      <c r="B23" t="s">
        <v>53</v>
      </c>
      <c r="C23" s="27"/>
      <c r="D23" s="27"/>
      <c r="E23" s="27"/>
      <c r="F23" s="19">
        <v>-0.875</v>
      </c>
      <c r="G23" s="19">
        <v>-0.875</v>
      </c>
      <c r="H23" s="19">
        <v>-0.875</v>
      </c>
      <c r="I23" s="19">
        <v>-0.875</v>
      </c>
      <c r="J23" s="19">
        <v>-0.875</v>
      </c>
    </row>
    <row r="24" spans="2:10" x14ac:dyDescent="0.3">
      <c r="B24" t="s">
        <v>54</v>
      </c>
      <c r="C24" s="27"/>
      <c r="D24" s="27"/>
      <c r="E24" s="27"/>
      <c r="F24" s="19">
        <v>-0.9</v>
      </c>
      <c r="G24" s="19">
        <v>-0.9</v>
      </c>
      <c r="H24" s="19">
        <v>-0.9</v>
      </c>
      <c r="I24" s="19">
        <v>-0.9</v>
      </c>
      <c r="J24" s="19">
        <v>-0.9</v>
      </c>
    </row>
    <row r="26" spans="2:10" x14ac:dyDescent="0.3">
      <c r="B26" t="s">
        <v>58</v>
      </c>
      <c r="C26" s="18">
        <f>SUM('P&amp;L source'!C12:C13)</f>
        <v>-1621.7216000000003</v>
      </c>
      <c r="D26" s="18">
        <f>SUM('P&amp;L source'!D12:D13)</f>
        <v>-1369.5872000000002</v>
      </c>
      <c r="E26" s="18">
        <f>SUM('P&amp;L source'!E12:E13)</f>
        <v>-1573.6960000000004</v>
      </c>
      <c r="F26" s="18">
        <f>F27*F$8</f>
        <v>-1719.0194999999999</v>
      </c>
      <c r="G26" s="18">
        <f t="shared" ref="G26" si="14">G27*G$8</f>
        <v>-1890.92145</v>
      </c>
      <c r="H26" s="18">
        <f t="shared" ref="H26" si="15">H27*H$8</f>
        <v>-2080.0135950000004</v>
      </c>
      <c r="I26" s="18">
        <f t="shared" ref="I26" si="16">I27*I$8</f>
        <v>-2288.0149545000008</v>
      </c>
      <c r="J26" s="18">
        <f t="shared" ref="J26" si="17">J27*J$8</f>
        <v>-2516.8164499500012</v>
      </c>
    </row>
    <row r="27" spans="2:10" x14ac:dyDescent="0.3">
      <c r="B27" t="s">
        <v>57</v>
      </c>
      <c r="C27" s="19">
        <f>C26/C$8</f>
        <v>-9.1517728255164996E-3</v>
      </c>
      <c r="D27" s="19">
        <f t="shared" ref="D27" si="18">D26/D$8</f>
        <v>-7.2611691355013849E-3</v>
      </c>
      <c r="E27" s="19">
        <f t="shared" ref="E27" si="19">E26/E$8</f>
        <v>-7.5525565591315303E-3</v>
      </c>
      <c r="F27" s="19">
        <f>CHOOSE($C$4,F28,F29,F30)</f>
        <v>-7.4999999999999997E-3</v>
      </c>
      <c r="G27" s="19">
        <f t="shared" ref="G27" si="20">CHOOSE($C$4,G28,G29,G30)</f>
        <v>-7.4999999999999997E-3</v>
      </c>
      <c r="H27" s="19">
        <f t="shared" ref="H27" si="21">CHOOSE($C$4,H28,H29,H30)</f>
        <v>-7.4999999999999997E-3</v>
      </c>
      <c r="I27" s="19">
        <f t="shared" ref="I27" si="22">CHOOSE($C$4,I28,I29,I30)</f>
        <v>-7.4999999999999997E-3</v>
      </c>
      <c r="J27" s="19">
        <f t="shared" ref="J27" si="23">CHOOSE($C$4,J28,J29,J30)</f>
        <v>-7.4999999999999997E-3</v>
      </c>
    </row>
    <row r="28" spans="2:10" x14ac:dyDescent="0.3">
      <c r="B28" t="s">
        <v>52</v>
      </c>
      <c r="C28" s="27"/>
      <c r="D28" s="27"/>
      <c r="E28" s="27"/>
      <c r="F28" s="19">
        <v>-7.4999999999999997E-3</v>
      </c>
      <c r="G28" s="19">
        <v>-7.4999999999999997E-3</v>
      </c>
      <c r="H28" s="19">
        <v>-7.4999999999999997E-3</v>
      </c>
      <c r="I28" s="19">
        <v>-7.4999999999999997E-3</v>
      </c>
      <c r="J28" s="19">
        <v>-7.4999999999999997E-3</v>
      </c>
    </row>
    <row r="29" spans="2:10" x14ac:dyDescent="0.3">
      <c r="B29" t="s">
        <v>53</v>
      </c>
      <c r="C29" s="27"/>
      <c r="D29" s="27"/>
      <c r="E29" s="27"/>
      <c r="F29" s="19">
        <v>-8.5000000000000006E-3</v>
      </c>
      <c r="G29" s="19">
        <v>-8.5000000000000006E-3</v>
      </c>
      <c r="H29" s="19">
        <v>-8.5000000000000006E-3</v>
      </c>
      <c r="I29" s="19">
        <v>-8.5000000000000006E-3</v>
      </c>
      <c r="J29" s="19">
        <v>-8.5000000000000006E-3</v>
      </c>
    </row>
    <row r="30" spans="2:10" x14ac:dyDescent="0.3">
      <c r="B30" t="s">
        <v>54</v>
      </c>
      <c r="C30" s="27"/>
      <c r="D30" s="27"/>
      <c r="E30" s="27"/>
      <c r="F30" s="19">
        <v>-9.4999999999999998E-3</v>
      </c>
      <c r="G30" s="19">
        <v>-9.4999999999999998E-3</v>
      </c>
      <c r="H30" s="19">
        <v>-9.4999999999999998E-3</v>
      </c>
      <c r="I30" s="19">
        <v>-9.4999999999999998E-3</v>
      </c>
      <c r="J30" s="19">
        <v>-9.4999999999999998E-3</v>
      </c>
    </row>
    <row r="32" spans="2:10" x14ac:dyDescent="0.3">
      <c r="B32" t="str" cm="1">
        <f t="array" ref="B32:E32">'P&amp;L source'!B17:E17</f>
        <v>D&amp;A</v>
      </c>
      <c r="C32" s="18">
        <v>-2907.8000000000006</v>
      </c>
      <c r="D32" s="18">
        <v>-4649.8</v>
      </c>
      <c r="E32" s="18">
        <v>-6430.6600000000008</v>
      </c>
      <c r="F32" s="18">
        <f>F33*F$8</f>
        <v>-6876.0779999999995</v>
      </c>
      <c r="G32" s="18">
        <f t="shared" ref="G32" si="24">G33*G$8</f>
        <v>-7563.6858000000002</v>
      </c>
      <c r="H32" s="18">
        <f t="shared" ref="H32" si="25">H33*H$8</f>
        <v>-8320.0543800000014</v>
      </c>
      <c r="I32" s="18">
        <f t="shared" ref="I32" si="26">I33*I$8</f>
        <v>-9152.0598180000034</v>
      </c>
      <c r="J32" s="18">
        <f t="shared" ref="J32" si="27">J33*J$8</f>
        <v>-10067.265799800005</v>
      </c>
    </row>
    <row r="33" spans="2:10" x14ac:dyDescent="0.3">
      <c r="B33" t="s">
        <v>57</v>
      </c>
      <c r="C33" s="19">
        <f>C32/C$8</f>
        <v>-1.6409428734276511E-2</v>
      </c>
      <c r="D33" s="19">
        <f t="shared" ref="D33" si="28">D32/D$8</f>
        <v>-2.4651942020379815E-2</v>
      </c>
      <c r="E33" s="19">
        <f t="shared" ref="E33" si="29">E32/E$8</f>
        <v>-3.0862328786846225E-2</v>
      </c>
      <c r="F33" s="19">
        <f>CHOOSE($C$4,F34,F35,F36)</f>
        <v>-0.03</v>
      </c>
      <c r="G33" s="19">
        <f t="shared" ref="G33" si="30">CHOOSE($C$4,G34,G35,G36)</f>
        <v>-0.03</v>
      </c>
      <c r="H33" s="19">
        <f t="shared" ref="H33" si="31">CHOOSE($C$4,H34,H35,H36)</f>
        <v>-0.03</v>
      </c>
      <c r="I33" s="19">
        <f t="shared" ref="I33" si="32">CHOOSE($C$4,I34,I35,I36)</f>
        <v>-0.03</v>
      </c>
      <c r="J33" s="19">
        <f t="shared" ref="J33" si="33">CHOOSE($C$4,J34,J35,J36)</f>
        <v>-0.03</v>
      </c>
    </row>
    <row r="34" spans="2:10" x14ac:dyDescent="0.3">
      <c r="B34" t="s">
        <v>52</v>
      </c>
      <c r="C34" s="27"/>
      <c r="D34" s="27"/>
      <c r="E34" s="27"/>
      <c r="F34" s="19">
        <v>-0.03</v>
      </c>
      <c r="G34" s="19">
        <v>-0.03</v>
      </c>
      <c r="H34" s="19">
        <v>-0.03</v>
      </c>
      <c r="I34" s="19">
        <v>-0.03</v>
      </c>
      <c r="J34" s="19">
        <v>-0.03</v>
      </c>
    </row>
    <row r="35" spans="2:10" x14ac:dyDescent="0.3">
      <c r="B35" t="s">
        <v>53</v>
      </c>
      <c r="C35" s="27"/>
      <c r="D35" s="27"/>
      <c r="E35" s="27"/>
      <c r="F35" s="19">
        <v>-0.03</v>
      </c>
      <c r="G35" s="19">
        <v>-0.03</v>
      </c>
      <c r="H35" s="19">
        <v>-0.03</v>
      </c>
      <c r="I35" s="19">
        <v>-0.03</v>
      </c>
      <c r="J35" s="19">
        <v>-0.03</v>
      </c>
    </row>
    <row r="36" spans="2:10" x14ac:dyDescent="0.3">
      <c r="B36" t="s">
        <v>54</v>
      </c>
      <c r="C36" s="27"/>
      <c r="D36" s="27"/>
      <c r="E36" s="27"/>
      <c r="F36" s="19">
        <v>-0.03</v>
      </c>
      <c r="G36" s="19">
        <v>-0.03</v>
      </c>
      <c r="H36" s="19">
        <v>-0.03</v>
      </c>
      <c r="I36" s="19">
        <v>-0.03</v>
      </c>
      <c r="J36" s="19">
        <v>-0.03</v>
      </c>
    </row>
    <row r="38" spans="2:10" x14ac:dyDescent="0.3">
      <c r="B38" t="s">
        <v>59</v>
      </c>
      <c r="C38" s="18" cm="1">
        <f t="array" ref="C38:E38">'P&amp;L source'!C21:E21</f>
        <v>-1266.3000000000002</v>
      </c>
      <c r="D38" s="18">
        <v>-2190.9</v>
      </c>
      <c r="E38" s="18">
        <v>-2663.92</v>
      </c>
      <c r="F38" s="18">
        <f>F39*F$8</f>
        <v>-2930.3119999999999</v>
      </c>
      <c r="G38" s="18">
        <f t="shared" ref="G38" si="34">G39*G$8</f>
        <v>-3223.3432000000003</v>
      </c>
      <c r="H38" s="18">
        <f t="shared" ref="H38" si="35">H39*H$8</f>
        <v>-3545.6775200000006</v>
      </c>
      <c r="I38" s="18">
        <f t="shared" ref="I38" si="36">I39*I$8</f>
        <v>-3900.2452720000015</v>
      </c>
      <c r="J38" s="18">
        <f t="shared" ref="J38" si="37">J39*J$8</f>
        <v>-4290.2697992000021</v>
      </c>
    </row>
    <row r="39" spans="2:10" x14ac:dyDescent="0.3">
      <c r="B39" t="s">
        <v>57</v>
      </c>
      <c r="C39" s="19">
        <f>C38/C$8</f>
        <v>-7.1460415455720282E-3</v>
      </c>
      <c r="D39" s="19">
        <f t="shared" ref="D39" si="38">D38/D$8</f>
        <v>-1.1615540404415274E-2</v>
      </c>
      <c r="E39" s="19">
        <f t="shared" ref="E39" si="39">E38/E$8</f>
        <v>-1.278481134158164E-2</v>
      </c>
      <c r="F39" s="19">
        <f>CHOOSE($C$4,F40,F41,F42)</f>
        <v>-1.278481134158164E-2</v>
      </c>
      <c r="G39" s="19">
        <f t="shared" ref="G39" si="40">CHOOSE($C$4,G40,G41,G42)</f>
        <v>-1.278481134158164E-2</v>
      </c>
      <c r="H39" s="19">
        <f t="shared" ref="H39" si="41">CHOOSE($C$4,H40,H41,H42)</f>
        <v>-1.278481134158164E-2</v>
      </c>
      <c r="I39" s="19">
        <f t="shared" ref="I39" si="42">CHOOSE($C$4,I40,I41,I42)</f>
        <v>-1.278481134158164E-2</v>
      </c>
      <c r="J39" s="19">
        <f t="shared" ref="J39" si="43">CHOOSE($C$4,J40,J41,J42)</f>
        <v>-1.278481134158164E-2</v>
      </c>
    </row>
    <row r="40" spans="2:10" x14ac:dyDescent="0.3">
      <c r="B40" t="s">
        <v>52</v>
      </c>
      <c r="C40" s="27"/>
      <c r="D40" s="27"/>
      <c r="E40" s="27"/>
      <c r="F40" s="19">
        <f>E39</f>
        <v>-1.278481134158164E-2</v>
      </c>
      <c r="G40" s="19">
        <f t="shared" ref="G40:J40" si="44">F39</f>
        <v>-1.278481134158164E-2</v>
      </c>
      <c r="H40" s="19">
        <f t="shared" si="44"/>
        <v>-1.278481134158164E-2</v>
      </c>
      <c r="I40" s="19">
        <f t="shared" si="44"/>
        <v>-1.278481134158164E-2</v>
      </c>
      <c r="J40" s="19">
        <f t="shared" si="44"/>
        <v>-1.278481134158164E-2</v>
      </c>
    </row>
    <row r="41" spans="2:10" x14ac:dyDescent="0.3">
      <c r="B41" t="s">
        <v>53</v>
      </c>
      <c r="C41" s="27"/>
      <c r="D41" s="27"/>
      <c r="E41" s="27"/>
      <c r="F41" s="19">
        <f>F40</f>
        <v>-1.278481134158164E-2</v>
      </c>
      <c r="G41" s="19">
        <f t="shared" ref="G41:J42" si="45">G40</f>
        <v>-1.278481134158164E-2</v>
      </c>
      <c r="H41" s="19">
        <f t="shared" si="45"/>
        <v>-1.278481134158164E-2</v>
      </c>
      <c r="I41" s="19">
        <f t="shared" si="45"/>
        <v>-1.278481134158164E-2</v>
      </c>
      <c r="J41" s="19">
        <f t="shared" si="45"/>
        <v>-1.278481134158164E-2</v>
      </c>
    </row>
    <row r="42" spans="2:10" x14ac:dyDescent="0.3">
      <c r="B42" t="s">
        <v>54</v>
      </c>
      <c r="C42" s="27"/>
      <c r="D42" s="27"/>
      <c r="E42" s="27"/>
      <c r="F42" s="19">
        <f>F41</f>
        <v>-1.278481134158164E-2</v>
      </c>
      <c r="G42" s="19">
        <f t="shared" si="45"/>
        <v>-1.278481134158164E-2</v>
      </c>
      <c r="H42" s="19">
        <f t="shared" si="45"/>
        <v>-1.278481134158164E-2</v>
      </c>
      <c r="I42" s="19">
        <f t="shared" si="45"/>
        <v>-1.278481134158164E-2</v>
      </c>
      <c r="J42" s="19">
        <f t="shared" si="45"/>
        <v>-1.278481134158164E-2</v>
      </c>
    </row>
    <row r="44" spans="2:10" x14ac:dyDescent="0.3">
      <c r="B44" t="str">
        <f>'P&amp;L source'!B22</f>
        <v>Extraordinary income</v>
      </c>
      <c r="C44">
        <f>'P&amp;L source'!C22</f>
        <v>-317.58000000000004</v>
      </c>
      <c r="D44">
        <f>'P&amp;L source'!D22</f>
        <v>-864.30000000000007</v>
      </c>
      <c r="E44">
        <f>'P&amp;L source'!E22</f>
        <v>-320.26</v>
      </c>
      <c r="F44" s="18">
        <f>F45*F$8</f>
        <v>0</v>
      </c>
      <c r="G44" s="18">
        <f t="shared" ref="G44" si="46">G45*G$8</f>
        <v>0</v>
      </c>
      <c r="H44" s="18">
        <f t="shared" ref="H44" si="47">H45*H$8</f>
        <v>0</v>
      </c>
      <c r="I44" s="18">
        <f t="shared" ref="I44" si="48">I45*I$8</f>
        <v>0</v>
      </c>
      <c r="J44" s="18">
        <f t="shared" ref="J44" si="49">J45*J$8</f>
        <v>0</v>
      </c>
    </row>
    <row r="45" spans="2:10" x14ac:dyDescent="0.3">
      <c r="B45" t="s">
        <v>57</v>
      </c>
      <c r="C45" s="19">
        <f>C44/C$8</f>
        <v>-1.7921818479371119E-3</v>
      </c>
      <c r="D45" s="19">
        <f t="shared" ref="D45" si="50">D44/D$8</f>
        <v>-4.5822774072463929E-3</v>
      </c>
      <c r="E45" s="19">
        <f t="shared" ref="E45" si="51">E44/E$8</f>
        <v>-1.5370069973028228E-3</v>
      </c>
      <c r="F45" s="19">
        <f>CHOOSE($C$4,F46,F47,F48)</f>
        <v>0</v>
      </c>
      <c r="G45" s="19">
        <f t="shared" ref="G45" si="52">CHOOSE($C$4,G46,G47,G48)</f>
        <v>0</v>
      </c>
      <c r="H45" s="19">
        <f t="shared" ref="H45" si="53">CHOOSE($C$4,H46,H47,H48)</f>
        <v>0</v>
      </c>
      <c r="I45" s="19">
        <f t="shared" ref="I45" si="54">CHOOSE($C$4,I46,I47,I48)</f>
        <v>0</v>
      </c>
      <c r="J45" s="19">
        <f t="shared" ref="J45" si="55">CHOOSE($C$4,J46,J47,J48)</f>
        <v>0</v>
      </c>
    </row>
    <row r="46" spans="2:10" x14ac:dyDescent="0.3">
      <c r="B46" t="s">
        <v>52</v>
      </c>
      <c r="C46" s="27"/>
      <c r="D46" s="27"/>
      <c r="E46" s="27"/>
      <c r="F46" s="19">
        <v>0</v>
      </c>
      <c r="G46" s="19">
        <v>0</v>
      </c>
      <c r="H46" s="19">
        <v>0</v>
      </c>
      <c r="I46" s="19">
        <v>0</v>
      </c>
      <c r="J46" s="19">
        <v>0</v>
      </c>
    </row>
    <row r="47" spans="2:10" x14ac:dyDescent="0.3">
      <c r="B47" t="s">
        <v>53</v>
      </c>
      <c r="C47" s="27"/>
      <c r="D47" s="27"/>
      <c r="E47" s="27"/>
      <c r="F47" s="19">
        <v>0</v>
      </c>
      <c r="G47" s="19">
        <v>0</v>
      </c>
      <c r="H47" s="19">
        <v>0</v>
      </c>
      <c r="I47" s="19">
        <v>0</v>
      </c>
      <c r="J47" s="19">
        <v>0</v>
      </c>
    </row>
    <row r="48" spans="2:10" x14ac:dyDescent="0.3">
      <c r="B48" t="s">
        <v>54</v>
      </c>
      <c r="C48" s="27"/>
      <c r="D48" s="27"/>
      <c r="E48" s="27"/>
      <c r="F48" s="19">
        <v>0</v>
      </c>
      <c r="G48" s="19">
        <v>0</v>
      </c>
      <c r="H48" s="19">
        <v>0</v>
      </c>
      <c r="I48" s="19">
        <v>0</v>
      </c>
      <c r="J48" s="19">
        <v>0</v>
      </c>
    </row>
  </sheetData>
  <dataValidations count="1">
    <dataValidation type="list" allowBlank="1" showInputMessage="1" showErrorMessage="1" sqref="C4" xr:uid="{BA9F3C59-5573-4C28-8661-3F184CBD62F8}">
      <formula1>"1,2,3"</formula1>
    </dataValidation>
  </dataValidations>
  <pageMargins left="0.7" right="0.7" top="0.75" bottom="0.75" header="0.3" footer="0.3"/>
  <pageSetup scale="71" orientation="landscape" r:id="rId1"/>
  <ignoredErrors>
    <ignoredError sqref="C20:E20 C26:E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49BA-05E0-4F0E-A9B4-F1665F461E53}">
  <sheetPr>
    <pageSetUpPr fitToPage="1"/>
  </sheetPr>
  <dimension ref="D2:L24"/>
  <sheetViews>
    <sheetView showGridLines="0" tabSelected="1" zoomScale="103" workbookViewId="0">
      <selection activeCell="D25" sqref="D25"/>
    </sheetView>
  </sheetViews>
  <sheetFormatPr defaultRowHeight="14.4" x14ac:dyDescent="0.3"/>
  <cols>
    <col min="3" max="3" width="2" customWidth="1"/>
    <col min="4" max="4" width="28.5546875" bestFit="1" customWidth="1"/>
    <col min="5" max="23" width="15.77734375" customWidth="1"/>
  </cols>
  <sheetData>
    <row r="2" spans="4:12" ht="18" x14ac:dyDescent="0.35">
      <c r="D2" s="23" t="s">
        <v>92</v>
      </c>
    </row>
    <row r="3" spans="4:12" ht="18" x14ac:dyDescent="0.35">
      <c r="D3" s="23"/>
    </row>
    <row r="4" spans="4:12" x14ac:dyDescent="0.3">
      <c r="D4" s="13"/>
      <c r="E4" s="14">
        <v>16</v>
      </c>
      <c r="F4" s="14">
        <f>E4+1</f>
        <v>17</v>
      </c>
      <c r="G4" s="14">
        <f t="shared" ref="G4:L4" si="0">F4+1</f>
        <v>18</v>
      </c>
      <c r="H4" s="14">
        <f t="shared" si="0"/>
        <v>19</v>
      </c>
      <c r="I4" s="14">
        <f t="shared" si="0"/>
        <v>20</v>
      </c>
      <c r="J4" s="14">
        <f t="shared" si="0"/>
        <v>21</v>
      </c>
      <c r="K4" s="14">
        <f t="shared" si="0"/>
        <v>22</v>
      </c>
      <c r="L4" s="14">
        <f t="shared" si="0"/>
        <v>23</v>
      </c>
    </row>
    <row r="5" spans="4:12" x14ac:dyDescent="0.3">
      <c r="D5" s="16"/>
      <c r="E5" s="24" t="s">
        <v>49</v>
      </c>
      <c r="F5" s="24" t="s">
        <v>49</v>
      </c>
      <c r="G5" s="24" t="s">
        <v>49</v>
      </c>
      <c r="H5" s="24" t="s">
        <v>50</v>
      </c>
      <c r="I5" s="24" t="s">
        <v>50</v>
      </c>
      <c r="J5" s="24" t="s">
        <v>50</v>
      </c>
      <c r="K5" s="24" t="s">
        <v>50</v>
      </c>
      <c r="L5" s="24" t="s">
        <v>50</v>
      </c>
    </row>
    <row r="6" spans="4:12" x14ac:dyDescent="0.3">
      <c r="D6" t="str" cm="1">
        <f t="array" ref="D6:L6">'P&amp;L Assumption'!B8:J8</f>
        <v>Revenue from sales and services</v>
      </c>
      <c r="E6" s="18">
        <v>177203</v>
      </c>
      <c r="F6" s="18">
        <v>188618</v>
      </c>
      <c r="G6" s="18">
        <v>208366</v>
      </c>
      <c r="H6" s="18">
        <v>229202.6</v>
      </c>
      <c r="I6" s="18">
        <v>252122.86000000002</v>
      </c>
      <c r="J6" s="18">
        <v>277335.14600000007</v>
      </c>
      <c r="K6" s="18">
        <v>305068.66060000012</v>
      </c>
      <c r="L6" s="18">
        <v>335575.52666000015</v>
      </c>
    </row>
    <row r="7" spans="4:12" x14ac:dyDescent="0.3">
      <c r="D7" t="str" cm="1">
        <f t="array" ref="D7:L7">'P&amp;L Assumption'!B14:J14</f>
        <v>Other revenue</v>
      </c>
      <c r="E7" s="18">
        <v>3520</v>
      </c>
      <c r="F7" s="18">
        <v>2416</v>
      </c>
      <c r="G7" s="18">
        <v>2585</v>
      </c>
      <c r="H7" s="18">
        <v>2585</v>
      </c>
      <c r="I7" s="18">
        <v>2585</v>
      </c>
      <c r="J7" s="18">
        <v>2585</v>
      </c>
      <c r="K7" s="18">
        <v>2585</v>
      </c>
      <c r="L7" s="18">
        <v>2585</v>
      </c>
    </row>
    <row r="8" spans="4:12" x14ac:dyDescent="0.3">
      <c r="D8" s="20" t="s">
        <v>60</v>
      </c>
      <c r="E8" s="21">
        <f>SUM(E6:E7)</f>
        <v>180723</v>
      </c>
      <c r="F8" s="21">
        <f t="shared" ref="F8:L8" si="1">SUM(F6:F7)</f>
        <v>191034</v>
      </c>
      <c r="G8" s="21">
        <f t="shared" si="1"/>
        <v>210951</v>
      </c>
      <c r="H8" s="21">
        <f t="shared" si="1"/>
        <v>231787.6</v>
      </c>
      <c r="I8" s="21">
        <f t="shared" si="1"/>
        <v>254707.86000000002</v>
      </c>
      <c r="J8" s="21">
        <f t="shared" si="1"/>
        <v>279920.14600000007</v>
      </c>
      <c r="K8" s="21">
        <f t="shared" si="1"/>
        <v>307653.66060000012</v>
      </c>
      <c r="L8" s="21">
        <f t="shared" si="1"/>
        <v>338160.52666000015</v>
      </c>
    </row>
    <row r="9" spans="4:12" x14ac:dyDescent="0.3">
      <c r="D9" t="str" cm="1">
        <f t="array" ref="D9:L9">'P&amp;L Assumption'!B20:J20</f>
        <v>COGS</v>
      </c>
      <c r="E9" s="18">
        <v>-158783.9610666667</v>
      </c>
      <c r="F9" s="18">
        <v>-168450.47679999997</v>
      </c>
      <c r="G9" s="18">
        <v>-179816.430425397</v>
      </c>
      <c r="H9" s="18">
        <v>-194822.21</v>
      </c>
      <c r="I9" s="18">
        <v>-214304.43100000001</v>
      </c>
      <c r="J9" s="18">
        <v>-235734.87410000004</v>
      </c>
      <c r="K9" s="18">
        <v>-259308.3615100001</v>
      </c>
      <c r="L9" s="18">
        <v>-285239.19766100013</v>
      </c>
    </row>
    <row r="10" spans="4:12" x14ac:dyDescent="0.3">
      <c r="D10" s="20" t="s">
        <v>61</v>
      </c>
      <c r="E10" s="21">
        <f>SUM(E8:E9)</f>
        <v>21939.038933333301</v>
      </c>
      <c r="F10" s="21">
        <f t="shared" ref="F10:L10" si="2">SUM(F8:F9)</f>
        <v>22583.523200000025</v>
      </c>
      <c r="G10" s="21">
        <f t="shared" si="2"/>
        <v>31134.569574602996</v>
      </c>
      <c r="H10" s="21">
        <f t="shared" si="2"/>
        <v>36965.390000000014</v>
      </c>
      <c r="I10" s="21">
        <f t="shared" si="2"/>
        <v>40403.429000000004</v>
      </c>
      <c r="J10" s="21">
        <f t="shared" si="2"/>
        <v>44185.271900000022</v>
      </c>
      <c r="K10" s="21">
        <f t="shared" si="2"/>
        <v>48345.299090000015</v>
      </c>
      <c r="L10" s="21">
        <f t="shared" si="2"/>
        <v>52921.328999000019</v>
      </c>
    </row>
    <row r="11" spans="4:12" x14ac:dyDescent="0.3">
      <c r="D11" t="str" cm="1">
        <f t="array" ref="D11:L11">'P&amp;L Assumption'!B26:J26</f>
        <v>Other Expenses</v>
      </c>
      <c r="E11" s="18">
        <v>-1621.7216000000003</v>
      </c>
      <c r="F11" s="18">
        <v>-1369.5872000000002</v>
      </c>
      <c r="G11" s="18">
        <v>-1573.6960000000004</v>
      </c>
      <c r="H11" s="18">
        <v>-1719.0194999999999</v>
      </c>
      <c r="I11" s="18">
        <v>-1890.92145</v>
      </c>
      <c r="J11" s="18">
        <v>-2080.0135950000004</v>
      </c>
      <c r="K11" s="18">
        <v>-2288.0149545000008</v>
      </c>
      <c r="L11" s="18">
        <v>-2516.8164499500012</v>
      </c>
    </row>
    <row r="12" spans="4:12" x14ac:dyDescent="0.3">
      <c r="D12" s="20" t="s">
        <v>13</v>
      </c>
      <c r="E12" s="21">
        <f>SUM(E10:E11)</f>
        <v>20317.3173333333</v>
      </c>
      <c r="F12" s="21">
        <f t="shared" ref="F12:L12" si="3">SUM(F10:F11)</f>
        <v>21213.936000000023</v>
      </c>
      <c r="G12" s="21">
        <f t="shared" si="3"/>
        <v>29560.873574602996</v>
      </c>
      <c r="H12" s="21">
        <f t="shared" si="3"/>
        <v>35246.370500000012</v>
      </c>
      <c r="I12" s="21">
        <f t="shared" si="3"/>
        <v>38512.507550000002</v>
      </c>
      <c r="J12" s="21">
        <f t="shared" si="3"/>
        <v>42105.258305000025</v>
      </c>
      <c r="K12" s="21">
        <f t="shared" si="3"/>
        <v>46057.284135500013</v>
      </c>
      <c r="L12" s="21">
        <f t="shared" si="3"/>
        <v>50404.512549050021</v>
      </c>
    </row>
    <row r="13" spans="4:12" x14ac:dyDescent="0.3">
      <c r="D13" t="str" cm="1">
        <f t="array" ref="D13:L13">'P&amp;L Assumption'!B32:J32</f>
        <v>D&amp;A</v>
      </c>
      <c r="E13" s="18">
        <v>-2907.8000000000006</v>
      </c>
      <c r="F13" s="18">
        <v>-4649.8</v>
      </c>
      <c r="G13" s="18">
        <v>-6430.6600000000008</v>
      </c>
      <c r="H13" s="18">
        <v>-6876.0779999999995</v>
      </c>
      <c r="I13" s="18">
        <v>-7563.6858000000002</v>
      </c>
      <c r="J13" s="18">
        <v>-8320.0543800000014</v>
      </c>
      <c r="K13" s="18">
        <v>-9152.0598180000034</v>
      </c>
      <c r="L13" s="18">
        <v>-10067.265799800005</v>
      </c>
    </row>
    <row r="14" spans="4:12" x14ac:dyDescent="0.3">
      <c r="D14" s="20" t="s">
        <v>15</v>
      </c>
      <c r="E14" s="21">
        <f>SUM(E12:E13)</f>
        <v>17409.5173333333</v>
      </c>
      <c r="F14" s="21">
        <f t="shared" ref="F14:L14" si="4">SUM(F12:F13)</f>
        <v>16564.136000000024</v>
      </c>
      <c r="G14" s="21">
        <f t="shared" si="4"/>
        <v>23130.213574602996</v>
      </c>
      <c r="H14" s="21">
        <f t="shared" si="4"/>
        <v>28370.29250000001</v>
      </c>
      <c r="I14" s="21">
        <f t="shared" si="4"/>
        <v>30948.821750000003</v>
      </c>
      <c r="J14" s="21">
        <f t="shared" si="4"/>
        <v>33785.203925000023</v>
      </c>
      <c r="K14" s="21">
        <f t="shared" si="4"/>
        <v>36905.224317500011</v>
      </c>
      <c r="L14" s="21">
        <f t="shared" si="4"/>
        <v>40337.246749250015</v>
      </c>
    </row>
    <row r="15" spans="4:12" x14ac:dyDescent="0.3">
      <c r="D15" t="str" cm="1">
        <f t="array" ref="D15:L15">'P&amp;L Assumption'!B38:J38</f>
        <v>Interest Expense</v>
      </c>
      <c r="E15" s="18">
        <v>-1266.3000000000002</v>
      </c>
      <c r="F15" s="18">
        <v>-2190.9</v>
      </c>
      <c r="G15" s="18">
        <v>-2663.92</v>
      </c>
      <c r="H15" s="18">
        <v>-2930.3119999999999</v>
      </c>
      <c r="I15" s="18">
        <v>-3223.3432000000003</v>
      </c>
      <c r="J15" s="18">
        <v>-3545.6775200000006</v>
      </c>
      <c r="K15" s="18">
        <v>-3900.2452720000015</v>
      </c>
      <c r="L15" s="18">
        <v>-4290.2697992000021</v>
      </c>
    </row>
    <row r="16" spans="4:12" x14ac:dyDescent="0.3">
      <c r="D16" t="str" cm="1">
        <f t="array" ref="D16:L16">'P&amp;L Assumption'!B44:J44</f>
        <v>Extraordinary income</v>
      </c>
      <c r="E16" s="18">
        <v>-317.58000000000004</v>
      </c>
      <c r="F16" s="18">
        <v>-864.30000000000007</v>
      </c>
      <c r="G16" s="18">
        <v>-320.26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</row>
    <row r="17" spans="4:12" x14ac:dyDescent="0.3">
      <c r="D17" s="20" t="s">
        <v>18</v>
      </c>
      <c r="E17" s="21">
        <f>SUM(E14:E16)</f>
        <v>15825.637333333301</v>
      </c>
      <c r="F17" s="21">
        <f t="shared" ref="F17:L17" si="5">SUM(F14:F16)</f>
        <v>13508.936000000025</v>
      </c>
      <c r="G17" s="21">
        <f t="shared" si="5"/>
        <v>20146.033574603</v>
      </c>
      <c r="H17" s="21">
        <f t="shared" si="5"/>
        <v>25439.980500000012</v>
      </c>
      <c r="I17" s="21">
        <f t="shared" si="5"/>
        <v>27725.478550000003</v>
      </c>
      <c r="J17" s="21">
        <f t="shared" si="5"/>
        <v>30239.526405000022</v>
      </c>
      <c r="K17" s="21">
        <f t="shared" si="5"/>
        <v>33004.979045500011</v>
      </c>
      <c r="L17" s="21">
        <f t="shared" si="5"/>
        <v>36046.976950050012</v>
      </c>
    </row>
    <row r="18" spans="4:12" x14ac:dyDescent="0.3">
      <c r="D18" t="s">
        <v>62</v>
      </c>
      <c r="E18" s="18" cm="1">
        <f t="array" ref="E18:G18">'P&amp;L source'!C26:E26</f>
        <v>-3805.7759999999998</v>
      </c>
      <c r="F18" s="18">
        <v>-3050.192</v>
      </c>
      <c r="G18" s="18">
        <v>-3814.88</v>
      </c>
      <c r="H18" s="18">
        <f>H17*H19</f>
        <v>-5559.7697265926035</v>
      </c>
      <c r="I18" s="18">
        <f t="shared" ref="I18:L18" si="6">I17*I19</f>
        <v>-6059.2529266122092</v>
      </c>
      <c r="J18" s="18">
        <f t="shared" si="6"/>
        <v>-6608.6844466337816</v>
      </c>
      <c r="K18" s="18">
        <f t="shared" si="6"/>
        <v>-7213.0591186575048</v>
      </c>
      <c r="L18" s="18">
        <f t="shared" si="6"/>
        <v>-7877.871257883603</v>
      </c>
    </row>
    <row r="19" spans="4:12" x14ac:dyDescent="0.3">
      <c r="D19" t="s">
        <v>63</v>
      </c>
      <c r="E19" s="28">
        <f>E18/E17</f>
        <v>-0.24048168928931229</v>
      </c>
      <c r="F19" s="28">
        <f t="shared" ref="F19:G19" si="7">F18/F17</f>
        <v>-0.22579069143565372</v>
      </c>
      <c r="G19" s="28">
        <f t="shared" si="7"/>
        <v>-0.189361344300012</v>
      </c>
      <c r="H19" s="28">
        <f>AVERAGE(E19:G19)</f>
        <v>-0.218544575008326</v>
      </c>
      <c r="I19" s="28">
        <f>H19</f>
        <v>-0.218544575008326</v>
      </c>
      <c r="J19" s="28">
        <f t="shared" ref="J19:L19" si="8">I19</f>
        <v>-0.218544575008326</v>
      </c>
      <c r="K19" s="28">
        <f t="shared" si="8"/>
        <v>-0.218544575008326</v>
      </c>
      <c r="L19" s="28">
        <f t="shared" si="8"/>
        <v>-0.218544575008326</v>
      </c>
    </row>
    <row r="20" spans="4:12" x14ac:dyDescent="0.3">
      <c r="D20" s="20" t="s">
        <v>20</v>
      </c>
      <c r="E20" s="21">
        <f>SUM(E17:E18)</f>
        <v>12019.861333333301</v>
      </c>
      <c r="F20" s="21">
        <f t="shared" ref="F20:L20" si="9">SUM(F17:F18)</f>
        <v>10458.744000000024</v>
      </c>
      <c r="G20" s="21">
        <f t="shared" si="9"/>
        <v>16331.153574602999</v>
      </c>
      <c r="H20" s="21">
        <f t="shared" si="9"/>
        <v>19880.210773407409</v>
      </c>
      <c r="I20" s="21">
        <f t="shared" si="9"/>
        <v>21666.225623387792</v>
      </c>
      <c r="J20" s="21">
        <f t="shared" si="9"/>
        <v>23630.84195836624</v>
      </c>
      <c r="K20" s="21">
        <f t="shared" si="9"/>
        <v>25791.919926842507</v>
      </c>
      <c r="L20" s="21">
        <f t="shared" si="9"/>
        <v>28169.105692166409</v>
      </c>
    </row>
    <row r="21" spans="4:12" x14ac:dyDescent="0.3">
      <c r="E21" s="18"/>
      <c r="F21" s="18"/>
      <c r="G21" s="18"/>
      <c r="H21" s="18"/>
      <c r="I21" s="18"/>
      <c r="J21" s="18"/>
      <c r="K21" s="18"/>
      <c r="L21" s="18"/>
    </row>
    <row r="22" spans="4:12" x14ac:dyDescent="0.3">
      <c r="E22" s="18"/>
      <c r="F22" s="18"/>
      <c r="G22" s="18"/>
      <c r="H22" s="18"/>
      <c r="I22" s="18"/>
      <c r="J22" s="18"/>
      <c r="K22" s="18"/>
      <c r="L22" s="18"/>
    </row>
    <row r="23" spans="4:12" x14ac:dyDescent="0.3">
      <c r="E23" s="18"/>
      <c r="F23" s="18"/>
      <c r="G23" s="18"/>
      <c r="H23" s="18"/>
      <c r="I23" s="18"/>
      <c r="J23" s="18"/>
      <c r="K23" s="18"/>
      <c r="L23" s="18"/>
    </row>
    <row r="24" spans="4:12" x14ac:dyDescent="0.3">
      <c r="E24" s="18"/>
      <c r="F24" s="18"/>
      <c r="G24" s="18"/>
      <c r="H24" s="18"/>
      <c r="I24" s="18"/>
      <c r="J24" s="18"/>
      <c r="K24" s="18"/>
      <c r="L24" s="18"/>
    </row>
  </sheetData>
  <pageMargins left="1" right="1" top="1" bottom="1" header="0.5" footer="0.5"/>
  <pageSetup scale="5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A7CA-707A-4035-A3B4-283A470CFBED}">
  <dimension ref="B2:L23"/>
  <sheetViews>
    <sheetView zoomScale="130" zoomScaleNormal="130" workbookViewId="0">
      <selection activeCell="E30" sqref="E30"/>
    </sheetView>
  </sheetViews>
  <sheetFormatPr defaultColWidth="9.109375" defaultRowHeight="11.4" x14ac:dyDescent="0.2"/>
  <cols>
    <col min="1" max="1" width="2" style="2" customWidth="1"/>
    <col min="2" max="2" width="24.109375" style="2" bestFit="1" customWidth="1"/>
    <col min="3" max="3" width="9.109375" style="2"/>
    <col min="4" max="4" width="10.88671875" style="2" customWidth="1"/>
    <col min="5" max="5" width="10.6640625" style="2" customWidth="1"/>
    <col min="6" max="6" width="10" style="2" bestFit="1" customWidth="1"/>
    <col min="7" max="7" width="9.109375" style="2"/>
    <col min="8" max="8" width="22.109375" style="2" bestFit="1" customWidth="1"/>
    <col min="9" max="9" width="9.109375" style="2"/>
    <col min="10" max="10" width="10" style="2" bestFit="1" customWidth="1"/>
    <col min="11" max="11" width="10.5546875" style="2" customWidth="1"/>
    <col min="12" max="12" width="11.109375" style="2" customWidth="1"/>
    <col min="13" max="16384" width="9.109375" style="2"/>
  </cols>
  <sheetData>
    <row r="2" spans="2:12" ht="15.6" x14ac:dyDescent="0.3">
      <c r="B2" s="1" t="s">
        <v>21</v>
      </c>
    </row>
    <row r="4" spans="2:12" ht="24" x14ac:dyDescent="0.25">
      <c r="B4" s="3" t="s">
        <v>1</v>
      </c>
      <c r="C4" s="3"/>
      <c r="D4" s="4" t="s">
        <v>22</v>
      </c>
      <c r="E4" s="4" t="s">
        <v>23</v>
      </c>
      <c r="F4" s="4" t="s">
        <v>24</v>
      </c>
      <c r="H4" s="3" t="s">
        <v>1</v>
      </c>
      <c r="I4" s="3"/>
      <c r="J4" s="4" t="s">
        <v>22</v>
      </c>
      <c r="K4" s="4" t="s">
        <v>23</v>
      </c>
      <c r="L4" s="4" t="s">
        <v>24</v>
      </c>
    </row>
    <row r="5" spans="2:12" x14ac:dyDescent="0.2">
      <c r="B5" s="2" t="s">
        <v>25</v>
      </c>
      <c r="D5" s="5">
        <v>5961.6</v>
      </c>
      <c r="E5" s="5">
        <v>5840</v>
      </c>
      <c r="F5" s="5">
        <v>5650</v>
      </c>
      <c r="G5" s="5"/>
      <c r="H5" s="5" t="s">
        <v>26</v>
      </c>
      <c r="I5" s="5"/>
      <c r="J5" s="5">
        <v>6784.8</v>
      </c>
      <c r="K5" s="5">
        <v>6800</v>
      </c>
      <c r="L5" s="5">
        <v>7508</v>
      </c>
    </row>
    <row r="6" spans="2:12" x14ac:dyDescent="0.2">
      <c r="B6" s="2" t="s">
        <v>27</v>
      </c>
      <c r="D6" s="5">
        <v>45106.400000000001</v>
      </c>
      <c r="E6" s="5">
        <v>49072.4</v>
      </c>
      <c r="F6" s="5">
        <v>56109.2</v>
      </c>
      <c r="G6" s="5"/>
      <c r="H6" s="5" t="s">
        <v>28</v>
      </c>
      <c r="I6" s="5"/>
      <c r="J6" s="5">
        <v>46224</v>
      </c>
      <c r="K6" s="5">
        <v>44414.400000000001</v>
      </c>
      <c r="L6" s="5">
        <v>46513.2</v>
      </c>
    </row>
    <row r="7" spans="2:12" x14ac:dyDescent="0.2">
      <c r="B7" s="2" t="s">
        <v>29</v>
      </c>
      <c r="D7" s="5">
        <v>8824</v>
      </c>
      <c r="E7" s="5">
        <v>9831</v>
      </c>
      <c r="F7" s="5">
        <v>10323</v>
      </c>
      <c r="G7" s="5"/>
      <c r="H7" s="5" t="s">
        <v>30</v>
      </c>
      <c r="I7" s="5"/>
      <c r="J7" s="5">
        <v>16393.7</v>
      </c>
      <c r="K7" s="5">
        <v>25993.7</v>
      </c>
      <c r="L7" s="5">
        <v>21516</v>
      </c>
    </row>
    <row r="8" spans="2:12" x14ac:dyDescent="0.2">
      <c r="D8" s="5"/>
      <c r="E8" s="5"/>
      <c r="F8" s="5"/>
      <c r="G8" s="5"/>
      <c r="H8" s="5" t="s">
        <v>31</v>
      </c>
      <c r="I8" s="5"/>
      <c r="J8" s="5">
        <v>12019.861333333281</v>
      </c>
      <c r="K8" s="5">
        <v>10458.744000000017</v>
      </c>
      <c r="L8" s="5">
        <v>16331.153574603002</v>
      </c>
    </row>
    <row r="9" spans="2:12" ht="12.6" thickBot="1" x14ac:dyDescent="0.3">
      <c r="B9" s="9" t="s">
        <v>32</v>
      </c>
      <c r="C9" s="11"/>
      <c r="D9" s="10">
        <f>D7+D6+D5</f>
        <v>59892</v>
      </c>
      <c r="E9" s="10">
        <f>E7+E6+E5</f>
        <v>64743.4</v>
      </c>
      <c r="F9" s="10">
        <f>F7+F6+F5</f>
        <v>72082.2</v>
      </c>
      <c r="G9" s="5"/>
      <c r="H9" s="10" t="s">
        <v>33</v>
      </c>
      <c r="I9" s="12"/>
      <c r="J9" s="10">
        <f>SUM(J5:J8)</f>
        <v>81422.361333333276</v>
      </c>
      <c r="K9" s="10">
        <f>SUM(K5:K8)</f>
        <v>87666.844000000026</v>
      </c>
      <c r="L9" s="10">
        <f>SUM(L5:L8)</f>
        <v>91868.353574602996</v>
      </c>
    </row>
    <row r="10" spans="2:12" x14ac:dyDescent="0.2">
      <c r="D10" s="5"/>
      <c r="E10" s="5"/>
      <c r="F10" s="5"/>
      <c r="G10" s="5"/>
      <c r="H10" s="5"/>
      <c r="I10" s="5"/>
      <c r="J10" s="5"/>
      <c r="K10" s="5"/>
      <c r="L10" s="5"/>
    </row>
    <row r="11" spans="2:12" x14ac:dyDescent="0.2">
      <c r="B11" s="2" t="s">
        <v>34</v>
      </c>
      <c r="D11" s="5">
        <v>31167.200000000001</v>
      </c>
      <c r="E11" s="5">
        <v>36396.800000000003</v>
      </c>
      <c r="F11" s="5">
        <v>46212</v>
      </c>
      <c r="G11" s="5"/>
      <c r="H11" s="5" t="s">
        <v>35</v>
      </c>
      <c r="I11" s="5"/>
      <c r="J11" s="5">
        <v>15891.2</v>
      </c>
      <c r="K11" s="5">
        <v>26351.599999999999</v>
      </c>
      <c r="L11" s="5">
        <v>36189.599999999999</v>
      </c>
    </row>
    <row r="12" spans="2:12" x14ac:dyDescent="0.2">
      <c r="B12" s="2" t="s">
        <v>36</v>
      </c>
      <c r="D12" s="5">
        <v>32883.599999999999</v>
      </c>
      <c r="E12" s="5">
        <v>38556</v>
      </c>
      <c r="F12" s="5">
        <v>43581.599999999999</v>
      </c>
      <c r="G12" s="5"/>
      <c r="H12" s="5" t="s">
        <v>37</v>
      </c>
      <c r="I12" s="5"/>
      <c r="J12" s="5">
        <v>5315</v>
      </c>
      <c r="K12" s="5">
        <v>4334</v>
      </c>
      <c r="L12" s="5">
        <v>6473.0464253970422</v>
      </c>
    </row>
    <row r="13" spans="2:12" x14ac:dyDescent="0.2">
      <c r="B13" s="2" t="s">
        <v>38</v>
      </c>
      <c r="D13" s="5">
        <v>8841.6</v>
      </c>
      <c r="E13" s="5">
        <v>11359.199999999999</v>
      </c>
      <c r="F13" s="5">
        <v>17602.8</v>
      </c>
      <c r="G13" s="5"/>
      <c r="H13" s="5" t="s">
        <v>39</v>
      </c>
      <c r="I13" s="5"/>
      <c r="J13" s="5">
        <v>478.83866666668911</v>
      </c>
      <c r="K13" s="5">
        <v>1217.9560000000056</v>
      </c>
      <c r="L13" s="5">
        <v>1760.3999999999999</v>
      </c>
    </row>
    <row r="14" spans="2:12" x14ac:dyDescent="0.2">
      <c r="D14" s="5"/>
      <c r="E14" s="5"/>
      <c r="F14" s="5"/>
      <c r="G14" s="5"/>
      <c r="H14" s="5" t="s">
        <v>40</v>
      </c>
      <c r="I14" s="5"/>
      <c r="J14" s="5">
        <v>175.2</v>
      </c>
      <c r="K14" s="5">
        <v>248.39999999999998</v>
      </c>
      <c r="L14" s="5">
        <v>240</v>
      </c>
    </row>
    <row r="15" spans="2:12" x14ac:dyDescent="0.2">
      <c r="B15" s="2" t="s">
        <v>41</v>
      </c>
      <c r="D15" s="5">
        <v>11791.199999999999</v>
      </c>
      <c r="E15" s="5">
        <v>19408.8</v>
      </c>
      <c r="F15" s="5">
        <v>8173.6</v>
      </c>
      <c r="G15" s="5"/>
      <c r="H15" s="5"/>
      <c r="I15" s="5"/>
      <c r="J15" s="5"/>
      <c r="K15" s="5"/>
      <c r="L15" s="5"/>
    </row>
    <row r="16" spans="2:12" ht="12.6" thickBot="1" x14ac:dyDescent="0.3">
      <c r="B16" s="9" t="s">
        <v>42</v>
      </c>
      <c r="C16" s="11"/>
      <c r="D16" s="10">
        <f>+D15+D13+D12+D11</f>
        <v>84683.599999999991</v>
      </c>
      <c r="E16" s="10">
        <f>+E15+E13+E12+E11</f>
        <v>105720.8</v>
      </c>
      <c r="F16" s="10">
        <f>+F15+F13+F12+F11</f>
        <v>115570</v>
      </c>
      <c r="G16" s="5"/>
      <c r="H16" s="5" t="s">
        <v>43</v>
      </c>
      <c r="I16" s="5"/>
      <c r="J16" s="5">
        <v>37402.600000000006</v>
      </c>
      <c r="K16" s="5">
        <v>45594.6</v>
      </c>
      <c r="L16" s="5">
        <v>50680.399999999994</v>
      </c>
    </row>
    <row r="17" spans="2:12" x14ac:dyDescent="0.2">
      <c r="D17" s="5"/>
      <c r="E17" s="5"/>
      <c r="F17" s="5"/>
      <c r="G17" s="5"/>
      <c r="H17" s="5" t="s">
        <v>44</v>
      </c>
      <c r="I17" s="5"/>
      <c r="J17" s="5">
        <v>3890.3999999999996</v>
      </c>
      <c r="K17" s="5">
        <v>5050.8</v>
      </c>
      <c r="L17" s="5">
        <v>440.4</v>
      </c>
    </row>
    <row r="18" spans="2:12" ht="12.6" thickBot="1" x14ac:dyDescent="0.3">
      <c r="D18" s="5"/>
      <c r="E18" s="5"/>
      <c r="F18" s="5"/>
      <c r="G18" s="5"/>
      <c r="H18" s="10" t="s">
        <v>45</v>
      </c>
      <c r="I18" s="12"/>
      <c r="J18" s="10">
        <f>J17+J16+SUM(J11:J14)</f>
        <v>63153.238666666701</v>
      </c>
      <c r="K18" s="10">
        <f>K17+K16+SUM(K11:K14)</f>
        <v>82797.356</v>
      </c>
      <c r="L18" s="10">
        <f>L17+L16+SUM(L11:L14)</f>
        <v>95783.846425397031</v>
      </c>
    </row>
    <row r="19" spans="2:12" x14ac:dyDescent="0.2">
      <c r="D19" s="5"/>
      <c r="E19" s="5"/>
      <c r="F19" s="5"/>
      <c r="G19" s="5"/>
      <c r="H19" s="5"/>
      <c r="I19" s="5"/>
      <c r="J19" s="5"/>
      <c r="K19" s="5"/>
      <c r="L19" s="5"/>
    </row>
    <row r="20" spans="2:12" ht="12.6" thickBot="1" x14ac:dyDescent="0.3">
      <c r="B20" s="9" t="s">
        <v>46</v>
      </c>
      <c r="C20" s="11"/>
      <c r="D20" s="10">
        <f>D16+D9</f>
        <v>144575.59999999998</v>
      </c>
      <c r="E20" s="10">
        <f>E16+E9</f>
        <v>170464.2</v>
      </c>
      <c r="F20" s="10">
        <f>F16+F9</f>
        <v>187652.2</v>
      </c>
      <c r="G20" s="5"/>
      <c r="H20" s="10" t="s">
        <v>47</v>
      </c>
      <c r="I20" s="12"/>
      <c r="J20" s="10">
        <f>J18+J9</f>
        <v>144575.59999999998</v>
      </c>
      <c r="K20" s="10">
        <f>K18+K9</f>
        <v>170464.2</v>
      </c>
      <c r="L20" s="10">
        <f>L18+L9</f>
        <v>187652.2</v>
      </c>
    </row>
    <row r="23" spans="2:12" x14ac:dyDescent="0.2">
      <c r="J23" s="2">
        <f>J20-D20</f>
        <v>0</v>
      </c>
      <c r="K23" s="2">
        <f>K20-E20</f>
        <v>0</v>
      </c>
      <c r="L23" s="2">
        <f>L20-F20</f>
        <v>0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0247-72E1-4ADA-9D7E-C97F71DF0CC9}">
  <sheetPr>
    <pageSetUpPr fitToPage="1"/>
  </sheetPr>
  <dimension ref="B2:J24"/>
  <sheetViews>
    <sheetView showGridLines="0" zoomScale="128" workbookViewId="0">
      <selection activeCell="B1" sqref="B1:J22"/>
    </sheetView>
  </sheetViews>
  <sheetFormatPr defaultRowHeight="14.4" x14ac:dyDescent="0.3"/>
  <cols>
    <col min="1" max="1" width="2" customWidth="1"/>
    <col min="2" max="2" width="28.5546875" bestFit="1" customWidth="1"/>
    <col min="3" max="21" width="15.77734375" customWidth="1"/>
  </cols>
  <sheetData>
    <row r="2" spans="2:10" ht="18" x14ac:dyDescent="0.35">
      <c r="B2" s="23" t="s">
        <v>67</v>
      </c>
    </row>
    <row r="3" spans="2:10" ht="18" x14ac:dyDescent="0.35">
      <c r="B3" s="23"/>
    </row>
    <row r="4" spans="2:10" x14ac:dyDescent="0.3">
      <c r="B4" s="13"/>
      <c r="C4" s="14">
        <v>16</v>
      </c>
      <c r="D4" s="14">
        <f>C4+1</f>
        <v>17</v>
      </c>
      <c r="E4" s="14">
        <f t="shared" ref="E4:J4" si="0">D4+1</f>
        <v>18</v>
      </c>
      <c r="F4" s="14">
        <f t="shared" si="0"/>
        <v>19</v>
      </c>
      <c r="G4" s="14">
        <f t="shared" si="0"/>
        <v>20</v>
      </c>
      <c r="H4" s="14">
        <f t="shared" si="0"/>
        <v>21</v>
      </c>
      <c r="I4" s="14">
        <f t="shared" si="0"/>
        <v>22</v>
      </c>
      <c r="J4" s="14">
        <f t="shared" si="0"/>
        <v>23</v>
      </c>
    </row>
    <row r="5" spans="2:10" x14ac:dyDescent="0.3">
      <c r="B5" s="16"/>
      <c r="C5" s="24" t="s">
        <v>49</v>
      </c>
      <c r="D5" s="24" t="s">
        <v>49</v>
      </c>
      <c r="E5" s="24" t="s">
        <v>49</v>
      </c>
      <c r="F5" s="24" t="s">
        <v>50</v>
      </c>
      <c r="G5" s="24" t="s">
        <v>50</v>
      </c>
      <c r="H5" s="24" t="s">
        <v>50</v>
      </c>
      <c r="I5" s="24" t="s">
        <v>50</v>
      </c>
      <c r="J5" s="24" t="s">
        <v>50</v>
      </c>
    </row>
    <row r="6" spans="2:10" x14ac:dyDescent="0.3">
      <c r="B6" t="str">
        <f>'BS source'!B12</f>
        <v>Trade receivables</v>
      </c>
      <c r="C6" s="18" cm="1">
        <f t="array" ref="C6:E6">'BS source'!D12:F12</f>
        <v>32883.599999999999</v>
      </c>
      <c r="D6" s="18">
        <v>38556</v>
      </c>
      <c r="E6" s="18">
        <v>43581.599999999999</v>
      </c>
      <c r="F6" s="18">
        <f>F7*'P&amp;L'!H6/365</f>
        <v>45774.987776947361</v>
      </c>
      <c r="G6" s="18">
        <f>G7*'P&amp;L'!I6/365</f>
        <v>50352.486554642106</v>
      </c>
      <c r="H6" s="18">
        <f>H7*'P&amp;L'!J6/365</f>
        <v>55387.735210106315</v>
      </c>
      <c r="I6" s="18">
        <f>I7*'P&amp;L'!K6/365</f>
        <v>60926.50873111697</v>
      </c>
      <c r="J6" s="18">
        <f>J7*'P&amp;L'!L6/365</f>
        <v>67019.159604228669</v>
      </c>
    </row>
    <row r="7" spans="2:10" x14ac:dyDescent="0.3">
      <c r="B7" t="s">
        <v>68</v>
      </c>
      <c r="C7" s="18">
        <f>C6/'P&amp;L'!E6*365</f>
        <v>67.733130928934614</v>
      </c>
      <c r="D7" s="18">
        <f>D6/'P&amp;L'!F6*365</f>
        <v>74.61080066589615</v>
      </c>
      <c r="E7" s="18">
        <f>E6/'P&amp;L'!G6*365</f>
        <v>76.342992618757378</v>
      </c>
      <c r="F7" s="18">
        <f>AVERAGE(C7:E7)</f>
        <v>72.895641404529385</v>
      </c>
      <c r="G7" s="18">
        <f>F7</f>
        <v>72.895641404529385</v>
      </c>
      <c r="H7" s="18">
        <f t="shared" ref="H7:J7" si="1">G7</f>
        <v>72.895641404529385</v>
      </c>
      <c r="I7" s="18">
        <f t="shared" si="1"/>
        <v>72.895641404529385</v>
      </c>
      <c r="J7" s="18">
        <f t="shared" si="1"/>
        <v>72.895641404529385</v>
      </c>
    </row>
    <row r="8" spans="2:10" x14ac:dyDescent="0.3">
      <c r="C8" s="18"/>
      <c r="D8" s="18"/>
      <c r="E8" s="18"/>
      <c r="F8" s="18"/>
      <c r="G8" s="18"/>
      <c r="H8" s="18"/>
      <c r="I8" s="18"/>
      <c r="J8" s="18"/>
    </row>
    <row r="9" spans="2:10" x14ac:dyDescent="0.3">
      <c r="B9" t="str">
        <f>'BS source'!B11</f>
        <v>Inventory</v>
      </c>
      <c r="C9" s="18" cm="1">
        <f t="array" ref="C9:E9">'BS source'!D11:F11</f>
        <v>31167.200000000001</v>
      </c>
      <c r="D9" s="18">
        <v>36396.800000000003</v>
      </c>
      <c r="E9" s="18">
        <v>46212</v>
      </c>
      <c r="F9" s="18">
        <f>F10*'P&amp;L'!H9/365</f>
        <v>43468.11484786756</v>
      </c>
      <c r="G9" s="18">
        <f>G10*'P&amp;L'!I9/365</f>
        <v>47814.926332654315</v>
      </c>
      <c r="H9" s="18">
        <f>H10*'P&amp;L'!J9/365</f>
        <v>52596.418965919758</v>
      </c>
      <c r="I9" s="18">
        <f>I10*'P&amp;L'!K9/365</f>
        <v>57856.060862511746</v>
      </c>
      <c r="J9" s="18">
        <f>J10*'P&amp;L'!L9/365</f>
        <v>63641.666948762926</v>
      </c>
    </row>
    <row r="10" spans="2:10" x14ac:dyDescent="0.3">
      <c r="B10" t="s">
        <v>69</v>
      </c>
      <c r="C10" s="18">
        <f>C9/'P&amp;L'!E9*365</f>
        <v>-71.644692093451965</v>
      </c>
      <c r="D10" s="18">
        <f>D9/'P&amp;L'!F9*365</f>
        <v>-78.864911826714419</v>
      </c>
      <c r="E10" s="18">
        <f>E9/'P&amp;L'!G9*365</f>
        <v>-93.803330207903372</v>
      </c>
      <c r="F10" s="18">
        <f>AVERAGE(C10:E10)</f>
        <v>-81.43764470935659</v>
      </c>
      <c r="G10" s="18">
        <f>F10</f>
        <v>-81.43764470935659</v>
      </c>
      <c r="H10" s="18">
        <f t="shared" ref="H10:J10" si="2">G10</f>
        <v>-81.43764470935659</v>
      </c>
      <c r="I10" s="18">
        <f t="shared" si="2"/>
        <v>-81.43764470935659</v>
      </c>
      <c r="J10" s="18">
        <f t="shared" si="2"/>
        <v>-81.43764470935659</v>
      </c>
    </row>
    <row r="11" spans="2:10" x14ac:dyDescent="0.3">
      <c r="C11" s="18"/>
      <c r="D11" s="18"/>
      <c r="E11" s="18"/>
      <c r="F11" s="18"/>
      <c r="G11" s="18"/>
      <c r="H11" s="18"/>
      <c r="I11" s="18"/>
      <c r="J11" s="18"/>
    </row>
    <row r="12" spans="2:10" x14ac:dyDescent="0.3">
      <c r="B12" t="str">
        <f>'BS source'!H11</f>
        <v>Trade payable</v>
      </c>
      <c r="C12" s="18" cm="1">
        <f t="array" ref="C12:E12">'BS source'!J11:L11</f>
        <v>15891.2</v>
      </c>
      <c r="D12" s="18">
        <v>26351.599999999999</v>
      </c>
      <c r="E12" s="18">
        <v>36189.599999999999</v>
      </c>
      <c r="F12" s="18">
        <f>F13*'P&amp;L'!H9/365</f>
        <v>29728.214236544365</v>
      </c>
      <c r="G12" s="18">
        <f>G13*'P&amp;L'!I9/365</f>
        <v>32701.035660198799</v>
      </c>
      <c r="H12" s="18">
        <f>H13*'P&amp;L'!J9/365</f>
        <v>35971.139226218686</v>
      </c>
      <c r="I12" s="18">
        <f>I13*'P&amp;L'!K9/365</f>
        <v>39568.253148840566</v>
      </c>
      <c r="J12" s="18">
        <f>J13*'P&amp;L'!L9/365</f>
        <v>43525.078463724625</v>
      </c>
    </row>
    <row r="13" spans="2:10" x14ac:dyDescent="0.3">
      <c r="B13" t="s">
        <v>70</v>
      </c>
      <c r="C13" s="18">
        <f>C12/'P&amp;L'!E9*365</f>
        <v>-36.529432576409299</v>
      </c>
      <c r="D13" s="18">
        <f>D12/'P&amp;L'!F9*365</f>
        <v>-57.098882607615153</v>
      </c>
      <c r="E13" s="18">
        <f>E12/'P&amp;L'!G9*365</f>
        <v>-73.459382820305123</v>
      </c>
      <c r="F13" s="18">
        <f>AVERAGE(C13:E13)</f>
        <v>-55.695899334776527</v>
      </c>
      <c r="G13" s="18">
        <f>F13</f>
        <v>-55.695899334776527</v>
      </c>
      <c r="H13" s="18">
        <f t="shared" ref="H13:J13" si="3">G13</f>
        <v>-55.695899334776527</v>
      </c>
      <c r="I13" s="18">
        <f t="shared" si="3"/>
        <v>-55.695899334776527</v>
      </c>
      <c r="J13" s="18">
        <f t="shared" si="3"/>
        <v>-55.695899334776527</v>
      </c>
    </row>
    <row r="14" spans="2:10" x14ac:dyDescent="0.3">
      <c r="C14" s="18"/>
      <c r="D14" s="18"/>
      <c r="E14" s="18"/>
      <c r="F14" s="18"/>
      <c r="G14" s="18"/>
      <c r="H14" s="18"/>
      <c r="I14" s="18"/>
      <c r="J14" s="18"/>
    </row>
    <row r="15" spans="2:10" x14ac:dyDescent="0.3">
      <c r="B15" t="str">
        <f>'BS source'!B6</f>
        <v>PP&amp;E</v>
      </c>
      <c r="C15" s="18" cm="1">
        <f t="array" ref="C15:E15">'BS source'!D6:F6</f>
        <v>45106.400000000001</v>
      </c>
      <c r="D15" s="18">
        <v>49072.4</v>
      </c>
      <c r="E15" s="18">
        <v>56109.2</v>
      </c>
      <c r="F15" s="18">
        <f>F16*'P&amp;L'!H6</f>
        <v>59898.018769381182</v>
      </c>
      <c r="G15" s="18">
        <f>G16*'P&amp;L'!I6</f>
        <v>65887.820646319306</v>
      </c>
      <c r="H15" s="18">
        <f>H16*'P&amp;L'!J6</f>
        <v>72476.602710951251</v>
      </c>
      <c r="I15" s="18">
        <f>I16*'P&amp;L'!K6</f>
        <v>79724.262982046392</v>
      </c>
      <c r="J15" s="18">
        <f>J16*'P&amp;L'!L6</f>
        <v>87696.689280251027</v>
      </c>
    </row>
    <row r="16" spans="2:10" x14ac:dyDescent="0.3">
      <c r="B16" t="s">
        <v>57</v>
      </c>
      <c r="C16" s="15">
        <f>C15/'P&amp;L'!E6</f>
        <v>0.25454648059005774</v>
      </c>
      <c r="D16" s="15">
        <f>D15/'P&amp;L'!F6</f>
        <v>0.26016817058817293</v>
      </c>
      <c r="E16" s="15">
        <f>E15/'P&amp;L'!G6</f>
        <v>0.26928193659234229</v>
      </c>
      <c r="F16" s="15">
        <f>AVERAGE(C16:E16)</f>
        <v>0.26133219592352436</v>
      </c>
      <c r="G16" s="15">
        <f>F16</f>
        <v>0.26133219592352436</v>
      </c>
      <c r="H16" s="15">
        <f t="shared" ref="H16:J16" si="4">G16</f>
        <v>0.26133219592352436</v>
      </c>
      <c r="I16" s="15">
        <f t="shared" si="4"/>
        <v>0.26133219592352436</v>
      </c>
      <c r="J16" s="15">
        <f t="shared" si="4"/>
        <v>0.26133219592352436</v>
      </c>
    </row>
    <row r="17" spans="2:10" x14ac:dyDescent="0.3">
      <c r="C17" s="18"/>
      <c r="D17" s="18"/>
      <c r="E17" s="18"/>
      <c r="F17" s="18"/>
      <c r="G17" s="18"/>
      <c r="H17" s="18"/>
      <c r="I17" s="18"/>
      <c r="J17" s="18"/>
    </row>
    <row r="18" spans="2:10" x14ac:dyDescent="0.3">
      <c r="B18" t="str">
        <f>'BS source'!B13</f>
        <v>Other assets</v>
      </c>
      <c r="C18" s="18" cm="1">
        <f t="array" ref="C18:E18">'BS source'!D13:F13</f>
        <v>8841.6</v>
      </c>
      <c r="D18" s="18">
        <v>11359.199999999999</v>
      </c>
      <c r="E18" s="18">
        <v>17602.8</v>
      </c>
      <c r="F18" s="18">
        <f>F19*'P&amp;L'!H6</f>
        <v>14867.518484339287</v>
      </c>
      <c r="G18" s="18">
        <f>G19*'P&amp;L'!I6</f>
        <v>16354.270332773216</v>
      </c>
      <c r="H18" s="18">
        <f>H19*'P&amp;L'!J6</f>
        <v>17989.697366050539</v>
      </c>
      <c r="I18" s="18">
        <f>I19*'P&amp;L'!K6</f>
        <v>19788.6671026556</v>
      </c>
      <c r="J18" s="18">
        <f>J19*'P&amp;L'!L6</f>
        <v>21767.53381292116</v>
      </c>
    </row>
    <row r="19" spans="2:10" x14ac:dyDescent="0.3">
      <c r="B19" t="str">
        <f>B16</f>
        <v>As % of Sales</v>
      </c>
      <c r="C19" s="29">
        <f>C18/'P&amp;L'!E6</f>
        <v>4.9895317799360059E-2</v>
      </c>
      <c r="D19" s="29">
        <f>D18/'P&amp;L'!F6</f>
        <v>6.0223308485934532E-2</v>
      </c>
      <c r="E19" s="29">
        <f>E18/'P&amp;L'!G6</f>
        <v>8.4480193505658316E-2</v>
      </c>
      <c r="F19" s="29">
        <f>AVERAGE(C19:E19)</f>
        <v>6.4866273263650964E-2</v>
      </c>
      <c r="G19" s="29">
        <f>F19</f>
        <v>6.4866273263650964E-2</v>
      </c>
      <c r="H19" s="29">
        <f t="shared" ref="H19:J19" si="5">G19</f>
        <v>6.4866273263650964E-2</v>
      </c>
      <c r="I19" s="29">
        <f t="shared" si="5"/>
        <v>6.4866273263650964E-2</v>
      </c>
      <c r="J19" s="29">
        <f t="shared" si="5"/>
        <v>6.4866273263650964E-2</v>
      </c>
    </row>
    <row r="20" spans="2:10" x14ac:dyDescent="0.3">
      <c r="C20" s="18"/>
      <c r="D20" s="18"/>
      <c r="E20" s="18"/>
      <c r="F20" s="18"/>
      <c r="G20" s="18"/>
      <c r="H20" s="18"/>
      <c r="I20" s="18"/>
      <c r="J20" s="18"/>
    </row>
    <row r="21" spans="2:10" x14ac:dyDescent="0.3">
      <c r="B21" t="str">
        <f>'BS source'!H12</f>
        <v>Other liabilities</v>
      </c>
      <c r="C21" s="18">
        <f>SUM('BS source'!J12:J14)</f>
        <v>5969.0386666666891</v>
      </c>
      <c r="D21" s="18">
        <f>SUM('BS source'!K12:K14)</f>
        <v>5800.3560000000052</v>
      </c>
      <c r="E21" s="18">
        <f>SUM('BS source'!L12:L14)</f>
        <v>8473.4464253970418</v>
      </c>
      <c r="F21" s="18">
        <f>F22*'P&amp;L'!H6</f>
        <v>8029.9438439337491</v>
      </c>
      <c r="G21" s="18">
        <f>G22*'P&amp;L'!I6</f>
        <v>8832.9382283271243</v>
      </c>
      <c r="H21" s="18">
        <f>H22*'P&amp;L'!J6</f>
        <v>9716.2320511598391</v>
      </c>
      <c r="I21" s="18">
        <f>I22*'P&amp;L'!K6</f>
        <v>10687.855256275825</v>
      </c>
      <c r="J21" s="18">
        <f>J22*'P&amp;L'!L6</f>
        <v>11756.640781903407</v>
      </c>
    </row>
    <row r="22" spans="2:10" x14ac:dyDescent="0.3">
      <c r="B22" t="str">
        <f>B19</f>
        <v>As % of Sales</v>
      </c>
      <c r="C22" s="29">
        <f>C21/'P&amp;L'!E6</f>
        <v>3.368474950574589E-2</v>
      </c>
      <c r="D22" s="29">
        <f>D21/'P&amp;L'!F6</f>
        <v>3.0751868856630889E-2</v>
      </c>
      <c r="E22" s="29">
        <f>E21/'P&amp;L'!G6</f>
        <v>4.0666166387016318E-2</v>
      </c>
      <c r="F22" s="29">
        <f>AVERAGE(C22:E22)</f>
        <v>3.5034261583131034E-2</v>
      </c>
      <c r="G22" s="29">
        <f>F22</f>
        <v>3.5034261583131034E-2</v>
      </c>
      <c r="H22" s="29">
        <f t="shared" ref="H22:J22" si="6">G22</f>
        <v>3.5034261583131034E-2</v>
      </c>
      <c r="I22" s="29">
        <f t="shared" si="6"/>
        <v>3.5034261583131034E-2</v>
      </c>
      <c r="J22" s="29">
        <f t="shared" si="6"/>
        <v>3.5034261583131034E-2</v>
      </c>
    </row>
    <row r="23" spans="2:10" x14ac:dyDescent="0.3">
      <c r="C23" s="18"/>
      <c r="D23" s="18"/>
      <c r="E23" s="18"/>
      <c r="F23" s="18"/>
      <c r="G23" s="18"/>
      <c r="H23" s="18"/>
      <c r="I23" s="18"/>
      <c r="J23" s="18"/>
    </row>
    <row r="24" spans="2:10" x14ac:dyDescent="0.3">
      <c r="C24" s="18"/>
      <c r="D24" s="18"/>
      <c r="E24" s="18"/>
      <c r="F24" s="18"/>
      <c r="G24" s="18"/>
      <c r="H24" s="18"/>
      <c r="I24" s="18"/>
      <c r="J24" s="18"/>
    </row>
  </sheetData>
  <pageMargins left="0.7" right="0.7" top="0.75" bottom="0.75" header="0.3" footer="0.3"/>
  <pageSetup scale="79" fitToHeight="0" orientation="landscape" r:id="rId1"/>
  <ignoredErrors>
    <ignoredError sqref="C21:E2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1B45-9E14-43B8-9483-8C94DE426E96}">
  <sheetPr>
    <pageSetUpPr fitToPage="1"/>
  </sheetPr>
  <dimension ref="B2:J25"/>
  <sheetViews>
    <sheetView showGridLines="0" zoomScale="128" workbookViewId="0">
      <selection activeCell="B1" sqref="B1:J21"/>
    </sheetView>
  </sheetViews>
  <sheetFormatPr defaultRowHeight="14.4" x14ac:dyDescent="0.3"/>
  <cols>
    <col min="1" max="1" width="2" customWidth="1"/>
    <col min="2" max="2" width="28.5546875" bestFit="1" customWidth="1"/>
    <col min="3" max="21" width="15.77734375" customWidth="1"/>
  </cols>
  <sheetData>
    <row r="2" spans="2:10" ht="18" x14ac:dyDescent="0.35">
      <c r="B2" s="23" t="s">
        <v>71</v>
      </c>
    </row>
    <row r="3" spans="2:10" ht="18" x14ac:dyDescent="0.35">
      <c r="B3" s="23"/>
    </row>
    <row r="4" spans="2:10" x14ac:dyDescent="0.3">
      <c r="B4" s="13"/>
      <c r="C4" s="14">
        <v>16</v>
      </c>
      <c r="D4" s="14">
        <f>C4+1</f>
        <v>17</v>
      </c>
      <c r="E4" s="14">
        <f t="shared" ref="E4:J4" si="0">D4+1</f>
        <v>18</v>
      </c>
      <c r="F4" s="14">
        <f t="shared" si="0"/>
        <v>19</v>
      </c>
      <c r="G4" s="14">
        <f t="shared" si="0"/>
        <v>20</v>
      </c>
      <c r="H4" s="14">
        <f t="shared" si="0"/>
        <v>21</v>
      </c>
      <c r="I4" s="14">
        <f t="shared" si="0"/>
        <v>22</v>
      </c>
      <c r="J4" s="14">
        <f t="shared" si="0"/>
        <v>23</v>
      </c>
    </row>
    <row r="5" spans="2:10" x14ac:dyDescent="0.3">
      <c r="B5" s="16"/>
      <c r="C5" s="24" t="s">
        <v>49</v>
      </c>
      <c r="D5" s="24" t="s">
        <v>49</v>
      </c>
      <c r="E5" s="24" t="s">
        <v>49</v>
      </c>
      <c r="F5" s="24" t="s">
        <v>50</v>
      </c>
      <c r="G5" s="24" t="s">
        <v>50</v>
      </c>
      <c r="H5" s="24" t="s">
        <v>50</v>
      </c>
      <c r="I5" s="24" t="s">
        <v>50</v>
      </c>
      <c r="J5" s="24" t="s">
        <v>50</v>
      </c>
    </row>
    <row r="6" spans="2:10" x14ac:dyDescent="0.3">
      <c r="B6" t="str">
        <f>'BS source'!B5</f>
        <v>Intangible assets</v>
      </c>
      <c r="C6" s="18" cm="1">
        <f t="array" ref="C6:E6">'BS source'!D5:F5</f>
        <v>5961.6</v>
      </c>
      <c r="D6" s="18">
        <v>5840</v>
      </c>
      <c r="E6" s="18">
        <v>5650</v>
      </c>
      <c r="F6" s="18">
        <f>E6</f>
        <v>5650</v>
      </c>
      <c r="G6" s="18">
        <f t="shared" ref="G6:J6" si="1">F6</f>
        <v>5650</v>
      </c>
      <c r="H6" s="18">
        <f t="shared" si="1"/>
        <v>5650</v>
      </c>
      <c r="I6" s="18">
        <f t="shared" si="1"/>
        <v>5650</v>
      </c>
      <c r="J6" s="18">
        <f t="shared" si="1"/>
        <v>5650</v>
      </c>
    </row>
    <row r="7" spans="2:10" x14ac:dyDescent="0.3">
      <c r="B7" t="str" cm="1">
        <f t="array" ref="B7:J7">'BS Assumption'!B15:J15</f>
        <v>PP&amp;E</v>
      </c>
      <c r="C7" s="18">
        <v>45106.400000000001</v>
      </c>
      <c r="D7" s="18">
        <v>49072.4</v>
      </c>
      <c r="E7" s="18">
        <v>56109.2</v>
      </c>
      <c r="F7" s="18">
        <v>59898.018769381182</v>
      </c>
      <c r="G7" s="18">
        <v>65887.820646319306</v>
      </c>
      <c r="H7" s="18">
        <v>72476.602710951251</v>
      </c>
      <c r="I7" s="18">
        <v>79724.262982046392</v>
      </c>
      <c r="J7" s="18">
        <v>87696.689280251027</v>
      </c>
    </row>
    <row r="8" spans="2:10" x14ac:dyDescent="0.3">
      <c r="B8" t="str">
        <f>'BS source'!B7</f>
        <v>Financial assets</v>
      </c>
      <c r="C8" s="18" cm="1">
        <f t="array" ref="C8:E8">'BS source'!D7:F7</f>
        <v>8824</v>
      </c>
      <c r="D8" s="18">
        <v>9831</v>
      </c>
      <c r="E8" s="18">
        <v>10323</v>
      </c>
      <c r="F8" s="18">
        <f>E8</f>
        <v>10323</v>
      </c>
      <c r="G8" s="18">
        <f t="shared" ref="G8:J8" si="2">F8</f>
        <v>10323</v>
      </c>
      <c r="H8" s="18">
        <f t="shared" si="2"/>
        <v>10323</v>
      </c>
      <c r="I8" s="18">
        <f t="shared" si="2"/>
        <v>10323</v>
      </c>
      <c r="J8" s="18">
        <f t="shared" si="2"/>
        <v>10323</v>
      </c>
    </row>
    <row r="9" spans="2:10" x14ac:dyDescent="0.3">
      <c r="B9" t="str" cm="1">
        <f t="array" ref="B9:J9">'BS Assumption'!B9:J9</f>
        <v>Inventory</v>
      </c>
      <c r="C9" s="18">
        <v>31167.200000000001</v>
      </c>
      <c r="D9" s="18">
        <v>36396.800000000003</v>
      </c>
      <c r="E9" s="18">
        <v>46212</v>
      </c>
      <c r="F9" s="18">
        <v>43468.11484786756</v>
      </c>
      <c r="G9" s="18">
        <v>47814.926332654315</v>
      </c>
      <c r="H9" s="18">
        <v>52596.418965919758</v>
      </c>
      <c r="I9" s="18">
        <v>57856.060862511746</v>
      </c>
      <c r="J9" s="18">
        <v>63641.666948762926</v>
      </c>
    </row>
    <row r="10" spans="2:10" x14ac:dyDescent="0.3">
      <c r="B10" t="str" cm="1">
        <f t="array" ref="B10:J10">'BS Assumption'!B6:J6</f>
        <v>Trade receivables</v>
      </c>
      <c r="C10" s="18">
        <v>32883.599999999999</v>
      </c>
      <c r="D10" s="18">
        <v>38556</v>
      </c>
      <c r="E10" s="18">
        <v>43581.599999999999</v>
      </c>
      <c r="F10" s="18">
        <v>45774.987776947361</v>
      </c>
      <c r="G10" s="18">
        <v>50352.486554642106</v>
      </c>
      <c r="H10" s="18">
        <v>55387.735210106315</v>
      </c>
      <c r="I10" s="18">
        <v>60926.50873111697</v>
      </c>
      <c r="J10" s="18">
        <v>67019.159604228669</v>
      </c>
    </row>
    <row r="11" spans="2:10" x14ac:dyDescent="0.3">
      <c r="B11" t="str" cm="1">
        <f t="array" ref="B11:J11">'BS Assumption'!B18:J18</f>
        <v>Other assets</v>
      </c>
      <c r="C11" s="18">
        <v>8841.6</v>
      </c>
      <c r="D11" s="18">
        <v>11359.199999999999</v>
      </c>
      <c r="E11" s="18">
        <v>17602.8</v>
      </c>
      <c r="F11" s="18">
        <v>14867.518484339287</v>
      </c>
      <c r="G11" s="18">
        <v>16354.270332773216</v>
      </c>
      <c r="H11" s="18">
        <v>17989.697366050539</v>
      </c>
      <c r="I11" s="18">
        <v>19788.6671026556</v>
      </c>
      <c r="J11" s="18">
        <v>21767.53381292116</v>
      </c>
    </row>
    <row r="12" spans="2:10" x14ac:dyDescent="0.3">
      <c r="B12" t="str">
        <f>'BS source'!B15</f>
        <v>Cash and equivalents</v>
      </c>
      <c r="C12" s="18" cm="1">
        <f t="array" ref="C12:E12">'BS source'!D15:F15</f>
        <v>11791.199999999999</v>
      </c>
      <c r="D12" s="18">
        <v>19408.8</v>
      </c>
      <c r="E12" s="18">
        <v>8173.6</v>
      </c>
      <c r="F12" s="18" cm="1">
        <f t="array" ref="F12:J12">CF!F36:J36</f>
        <v>20645.882549953145</v>
      </c>
      <c r="G12" s="18">
        <v>29687.059993535193</v>
      </c>
      <c r="H12" s="18">
        <v>39430.348954115114</v>
      </c>
      <c r="I12" s="18">
        <v>49945.960583392647</v>
      </c>
      <c r="J12" s="18">
        <v>61311.127148237618</v>
      </c>
    </row>
    <row r="13" spans="2:10" x14ac:dyDescent="0.3">
      <c r="B13" s="20" t="s">
        <v>46</v>
      </c>
      <c r="C13" s="21">
        <f>SUM(C6:C12)</f>
        <v>144575.6</v>
      </c>
      <c r="D13" s="21">
        <f t="shared" ref="D13:J13" si="3">SUM(D6:D12)</f>
        <v>170464.2</v>
      </c>
      <c r="E13" s="21">
        <f t="shared" si="3"/>
        <v>187652.19999999998</v>
      </c>
      <c r="F13" s="21">
        <f t="shared" si="3"/>
        <v>200627.52242848856</v>
      </c>
      <c r="G13" s="21">
        <f t="shared" si="3"/>
        <v>226069.56385992412</v>
      </c>
      <c r="H13" s="21">
        <f t="shared" si="3"/>
        <v>253853.80320714295</v>
      </c>
      <c r="I13" s="21">
        <f t="shared" si="3"/>
        <v>284214.46026172338</v>
      </c>
      <c r="J13" s="21">
        <f t="shared" si="3"/>
        <v>317409.17679440137</v>
      </c>
    </row>
    <row r="14" spans="2:10" x14ac:dyDescent="0.3">
      <c r="C14" s="18"/>
      <c r="D14" s="18"/>
      <c r="E14" s="18"/>
      <c r="F14" s="18"/>
      <c r="G14" s="18"/>
      <c r="H14" s="18"/>
      <c r="I14" s="18"/>
      <c r="J14" s="18"/>
    </row>
    <row r="15" spans="2:10" x14ac:dyDescent="0.3">
      <c r="B15" t="str" cm="1">
        <f t="array" ref="B15:J15">'BS Assumption'!B12:J12</f>
        <v>Trade payable</v>
      </c>
      <c r="C15" s="18">
        <v>15891.2</v>
      </c>
      <c r="D15" s="18">
        <v>26351.599999999999</v>
      </c>
      <c r="E15" s="18">
        <v>36189.599999999999</v>
      </c>
      <c r="F15" s="18">
        <v>29728.214236544365</v>
      </c>
      <c r="G15" s="18">
        <v>32701.035660198799</v>
      </c>
      <c r="H15" s="18">
        <v>35971.139226218686</v>
      </c>
      <c r="I15" s="18">
        <v>39568.253148840566</v>
      </c>
      <c r="J15" s="18">
        <v>43525.078463724625</v>
      </c>
    </row>
    <row r="16" spans="2:10" x14ac:dyDescent="0.3">
      <c r="B16" t="str" cm="1">
        <f t="array" ref="B16:J16">'BS Assumption'!B21:J21</f>
        <v>Other liabilities</v>
      </c>
      <c r="C16" s="18">
        <v>5969.0386666666891</v>
      </c>
      <c r="D16" s="18">
        <v>5800.3560000000052</v>
      </c>
      <c r="E16" s="18">
        <v>8473.4464253970418</v>
      </c>
      <c r="F16" s="18">
        <v>8029.9438439337491</v>
      </c>
      <c r="G16" s="18">
        <v>8832.9382283271243</v>
      </c>
      <c r="H16" s="18">
        <v>9716.2320511598391</v>
      </c>
      <c r="I16" s="18">
        <v>10687.855256275825</v>
      </c>
      <c r="J16" s="18">
        <v>11756.640781903407</v>
      </c>
    </row>
    <row r="17" spans="2:10" x14ac:dyDescent="0.3">
      <c r="B17" t="s">
        <v>72</v>
      </c>
      <c r="C17" s="18">
        <f>SUM('BS source'!J16:J17)</f>
        <v>41293.000000000007</v>
      </c>
      <c r="D17" s="18">
        <f>SUM('BS source'!K16:K17)</f>
        <v>50645.4</v>
      </c>
      <c r="E17" s="18">
        <f>SUM('BS source'!L16:L17)</f>
        <v>51120.799999999996</v>
      </c>
      <c r="F17" s="18">
        <f>E17</f>
        <v>51120.799999999996</v>
      </c>
      <c r="G17" s="18">
        <f t="shared" ref="G17:J17" si="4">F17</f>
        <v>51120.799999999996</v>
      </c>
      <c r="H17" s="18">
        <f t="shared" si="4"/>
        <v>51120.799999999996</v>
      </c>
      <c r="I17" s="18">
        <f t="shared" si="4"/>
        <v>51120.799999999996</v>
      </c>
      <c r="J17" s="18">
        <f t="shared" si="4"/>
        <v>51120.799999999996</v>
      </c>
    </row>
    <row r="18" spans="2:10" x14ac:dyDescent="0.3">
      <c r="B18" t="s">
        <v>33</v>
      </c>
      <c r="C18" s="18" cm="1">
        <f t="array" ref="C18:E18">'BS source'!J9:L9</f>
        <v>81422.361333333276</v>
      </c>
      <c r="D18" s="18">
        <v>87666.844000000026</v>
      </c>
      <c r="E18" s="18">
        <v>91868.353574602996</v>
      </c>
      <c r="F18" s="18">
        <f>E18+'P&amp;L'!H20</f>
        <v>111748.5643480104</v>
      </c>
      <c r="G18" s="18">
        <f>F18+'P&amp;L'!I20</f>
        <v>133414.78997139819</v>
      </c>
      <c r="H18" s="18">
        <f>G18+'P&amp;L'!J20</f>
        <v>157045.63192976444</v>
      </c>
      <c r="I18" s="18">
        <f>H18+'P&amp;L'!K20</f>
        <v>182837.55185660694</v>
      </c>
      <c r="J18" s="18">
        <f>I18+'P&amp;L'!L20</f>
        <v>211006.65754877334</v>
      </c>
    </row>
    <row r="19" spans="2:10" x14ac:dyDescent="0.3">
      <c r="B19" s="20" t="s">
        <v>47</v>
      </c>
      <c r="C19" s="21">
        <f>SUM(C15:C18)</f>
        <v>144575.59999999998</v>
      </c>
      <c r="D19" s="21">
        <f t="shared" ref="D19:J19" si="5">SUM(D15:D18)</f>
        <v>170464.2</v>
      </c>
      <c r="E19" s="21">
        <f t="shared" si="5"/>
        <v>187652.2</v>
      </c>
      <c r="F19" s="21">
        <f t="shared" si="5"/>
        <v>200627.5224284885</v>
      </c>
      <c r="G19" s="21">
        <f t="shared" si="5"/>
        <v>226069.56385992409</v>
      </c>
      <c r="H19" s="21">
        <f t="shared" si="5"/>
        <v>253853.80320714295</v>
      </c>
      <c r="I19" s="21">
        <f t="shared" si="5"/>
        <v>284214.46026172332</v>
      </c>
      <c r="J19" s="21">
        <f t="shared" si="5"/>
        <v>317409.17679440137</v>
      </c>
    </row>
    <row r="20" spans="2:10" x14ac:dyDescent="0.3">
      <c r="C20" s="18"/>
      <c r="D20" s="18"/>
      <c r="E20" s="18"/>
      <c r="F20" s="18"/>
      <c r="G20" s="18"/>
      <c r="H20" s="18"/>
      <c r="I20" s="18"/>
      <c r="J20" s="18"/>
    </row>
    <row r="21" spans="2:10" x14ac:dyDescent="0.3">
      <c r="B21" t="s">
        <v>73</v>
      </c>
      <c r="C21" s="18">
        <f>C13-C19</f>
        <v>0</v>
      </c>
      <c r="D21" s="18">
        <f t="shared" ref="D21:J21" si="6">D13-D19</f>
        <v>0</v>
      </c>
      <c r="E21" s="18">
        <f t="shared" si="6"/>
        <v>0</v>
      </c>
      <c r="F21" s="18">
        <f t="shared" si="6"/>
        <v>0</v>
      </c>
      <c r="G21" s="18">
        <f t="shared" si="6"/>
        <v>0</v>
      </c>
      <c r="H21" s="18">
        <f t="shared" si="6"/>
        <v>0</v>
      </c>
      <c r="I21" s="18">
        <f t="shared" si="6"/>
        <v>0</v>
      </c>
      <c r="J21" s="18">
        <f t="shared" si="6"/>
        <v>0</v>
      </c>
    </row>
    <row r="22" spans="2:10" x14ac:dyDescent="0.3">
      <c r="C22" s="18"/>
      <c r="D22" s="18"/>
      <c r="E22" s="18"/>
      <c r="F22" s="18"/>
      <c r="G22" s="18"/>
      <c r="H22" s="18"/>
      <c r="I22" s="18"/>
      <c r="J22" s="18"/>
    </row>
    <row r="23" spans="2:10" x14ac:dyDescent="0.3">
      <c r="C23" s="18"/>
      <c r="D23" s="18"/>
      <c r="E23" s="18"/>
      <c r="F23" s="18"/>
      <c r="G23" s="18"/>
      <c r="H23" s="18"/>
      <c r="I23" s="18"/>
      <c r="J23" s="18"/>
    </row>
    <row r="24" spans="2:10" x14ac:dyDescent="0.3">
      <c r="C24" s="18"/>
      <c r="D24" s="18"/>
      <c r="E24" s="18"/>
      <c r="F24" s="18"/>
      <c r="G24" s="18"/>
      <c r="H24" s="18"/>
      <c r="I24" s="18"/>
      <c r="J24" s="18"/>
    </row>
    <row r="25" spans="2:10" x14ac:dyDescent="0.3">
      <c r="C25" s="18"/>
      <c r="D25" s="18"/>
      <c r="E25" s="18"/>
      <c r="F25" s="18"/>
      <c r="G25" s="18"/>
      <c r="H25" s="18"/>
      <c r="I25" s="18"/>
      <c r="J25" s="18"/>
    </row>
  </sheetData>
  <pageMargins left="0.7" right="0.7" top="0.75" bottom="0.75" header="0.3" footer="0.3"/>
  <pageSetup scale="7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C2AE-E08A-421C-ADE3-CF538E8FD2C0}">
  <sheetPr>
    <pageSetUpPr fitToPage="1"/>
  </sheetPr>
  <dimension ref="B1:J36"/>
  <sheetViews>
    <sheetView showGridLines="0" zoomScale="128" workbookViewId="0">
      <selection activeCell="B1" sqref="B1:J36"/>
    </sheetView>
  </sheetViews>
  <sheetFormatPr defaultRowHeight="14.4" x14ac:dyDescent="0.3"/>
  <cols>
    <col min="1" max="1" width="2" customWidth="1"/>
    <col min="2" max="2" width="28.5546875" bestFit="1" customWidth="1"/>
    <col min="3" max="10" width="15.77734375" style="18" customWidth="1"/>
    <col min="11" max="21" width="15.77734375" customWidth="1"/>
  </cols>
  <sheetData>
    <row r="1" spans="2:10" x14ac:dyDescent="0.3">
      <c r="C1"/>
      <c r="D1"/>
      <c r="E1"/>
      <c r="F1"/>
      <c r="G1"/>
      <c r="H1"/>
      <c r="I1"/>
      <c r="J1"/>
    </row>
    <row r="2" spans="2:10" ht="18" x14ac:dyDescent="0.35">
      <c r="B2" s="23" t="s">
        <v>64</v>
      </c>
      <c r="C2"/>
      <c r="D2"/>
      <c r="E2"/>
      <c r="F2"/>
      <c r="G2"/>
      <c r="H2"/>
      <c r="I2"/>
      <c r="J2"/>
    </row>
    <row r="3" spans="2:10" ht="18" x14ac:dyDescent="0.35">
      <c r="B3" s="23"/>
      <c r="C3"/>
      <c r="D3"/>
      <c r="E3"/>
      <c r="F3"/>
      <c r="G3"/>
      <c r="H3"/>
      <c r="I3"/>
      <c r="J3"/>
    </row>
    <row r="4" spans="2:10" x14ac:dyDescent="0.3">
      <c r="B4" s="13"/>
      <c r="C4" s="14">
        <v>16</v>
      </c>
      <c r="D4" s="14">
        <f>C4+1</f>
        <v>17</v>
      </c>
      <c r="E4" s="14">
        <f t="shared" ref="E4:J4" si="0">D4+1</f>
        <v>18</v>
      </c>
      <c r="F4" s="14">
        <f t="shared" si="0"/>
        <v>19</v>
      </c>
      <c r="G4" s="14">
        <f t="shared" si="0"/>
        <v>20</v>
      </c>
      <c r="H4" s="14">
        <f t="shared" si="0"/>
        <v>21</v>
      </c>
      <c r="I4" s="14">
        <f t="shared" si="0"/>
        <v>22</v>
      </c>
      <c r="J4" s="14">
        <f t="shared" si="0"/>
        <v>23</v>
      </c>
    </row>
    <row r="5" spans="2:10" x14ac:dyDescent="0.3">
      <c r="B5" s="16"/>
      <c r="C5" s="24" t="s">
        <v>49</v>
      </c>
      <c r="D5" s="24" t="s">
        <v>49</v>
      </c>
      <c r="E5" s="24" t="s">
        <v>49</v>
      </c>
      <c r="F5" s="24" t="s">
        <v>50</v>
      </c>
      <c r="G5" s="24" t="s">
        <v>50</v>
      </c>
      <c r="H5" s="24" t="s">
        <v>50</v>
      </c>
      <c r="I5" s="24" t="s">
        <v>50</v>
      </c>
      <c r="J5" s="24" t="s">
        <v>50</v>
      </c>
    </row>
    <row r="6" spans="2:10" x14ac:dyDescent="0.3">
      <c r="B6" t="str" cm="1">
        <f t="array" ref="B6:J6">'P&amp;L'!D14:L14</f>
        <v>EBIT</v>
      </c>
      <c r="C6" s="18">
        <v>17409.5173333333</v>
      </c>
      <c r="D6" s="18">
        <v>16564.136000000024</v>
      </c>
      <c r="E6" s="18">
        <v>23130.213574602996</v>
      </c>
      <c r="F6" s="18">
        <v>28370.29250000001</v>
      </c>
      <c r="G6" s="18">
        <v>30948.821750000003</v>
      </c>
      <c r="H6" s="18">
        <v>33785.203925000023</v>
      </c>
      <c r="I6" s="18">
        <v>36905.224317500011</v>
      </c>
      <c r="J6" s="18">
        <v>40337.246749250015</v>
      </c>
    </row>
    <row r="7" spans="2:10" x14ac:dyDescent="0.3">
      <c r="B7" t="str" cm="1">
        <f t="array" ref="B7:J7">'P&amp;L'!D19:L19</f>
        <v>As % of EBT</v>
      </c>
      <c r="C7" s="28">
        <v>-0.24048168928931229</v>
      </c>
      <c r="D7" s="28">
        <v>-0.22579069143565372</v>
      </c>
      <c r="E7" s="28">
        <v>-0.189361344300012</v>
      </c>
      <c r="F7" s="28">
        <v>-0.218544575008326</v>
      </c>
      <c r="G7" s="28">
        <v>-0.218544575008326</v>
      </c>
      <c r="H7" s="28">
        <v>-0.218544575008326</v>
      </c>
      <c r="I7" s="28">
        <v>-0.218544575008326</v>
      </c>
      <c r="J7" s="28">
        <v>-0.218544575008326</v>
      </c>
    </row>
    <row r="8" spans="2:10" x14ac:dyDescent="0.3">
      <c r="B8" t="s">
        <v>62</v>
      </c>
      <c r="C8" s="18">
        <f>C7*C6</f>
        <v>-4186.6701380315553</v>
      </c>
      <c r="D8" s="18">
        <f t="shared" ref="D8:J8" si="1">D7*D6</f>
        <v>-3740.0277204742088</v>
      </c>
      <c r="E8" s="18">
        <f t="shared" si="1"/>
        <v>-4379.9683364332095</v>
      </c>
      <c r="F8" s="18">
        <f t="shared" si="1"/>
        <v>-6200.1735172744011</v>
      </c>
      <c r="G8" s="18">
        <f t="shared" si="1"/>
        <v>-6763.697096362187</v>
      </c>
      <c r="H8" s="18">
        <f t="shared" si="1"/>
        <v>-7383.5730333587571</v>
      </c>
      <c r="I8" s="18">
        <f t="shared" si="1"/>
        <v>-8065.4365640549777</v>
      </c>
      <c r="J8" s="18">
        <f t="shared" si="1"/>
        <v>-8815.4864478208237</v>
      </c>
    </row>
    <row r="9" spans="2:10" x14ac:dyDescent="0.3">
      <c r="B9" s="20" t="s">
        <v>65</v>
      </c>
      <c r="C9" s="21">
        <f>SUM(C6,C8)</f>
        <v>13222.847195301745</v>
      </c>
      <c r="D9" s="21">
        <f t="shared" ref="D9:J9" si="2">SUM(D6,D8)</f>
        <v>12824.108279525815</v>
      </c>
      <c r="E9" s="21">
        <f t="shared" si="2"/>
        <v>18750.245238169788</v>
      </c>
      <c r="F9" s="21">
        <f t="shared" si="2"/>
        <v>22170.118982725609</v>
      </c>
      <c r="G9" s="21">
        <f t="shared" si="2"/>
        <v>24185.124653637817</v>
      </c>
      <c r="H9" s="21">
        <f t="shared" si="2"/>
        <v>26401.630891641267</v>
      </c>
      <c r="I9" s="21">
        <f t="shared" si="2"/>
        <v>28839.787753445034</v>
      </c>
      <c r="J9" s="21">
        <f t="shared" si="2"/>
        <v>31521.760301429189</v>
      </c>
    </row>
    <row r="11" spans="2:10" x14ac:dyDescent="0.3">
      <c r="B11" t="s">
        <v>66</v>
      </c>
      <c r="C11" s="18" cm="1">
        <f t="array" ref="C11:J11">-'P&amp;L'!E13:L13</f>
        <v>2907.8000000000006</v>
      </c>
      <c r="D11" s="18">
        <v>4649.8</v>
      </c>
      <c r="E11" s="18">
        <v>6430.6600000000008</v>
      </c>
      <c r="F11" s="18">
        <v>6876.0779999999995</v>
      </c>
      <c r="G11" s="18">
        <v>7563.6858000000002</v>
      </c>
      <c r="H11" s="18">
        <v>8320.0543800000014</v>
      </c>
      <c r="I11" s="18">
        <v>9152.0598180000034</v>
      </c>
      <c r="J11" s="18">
        <v>10067.265799800005</v>
      </c>
    </row>
    <row r="12" spans="2:10" x14ac:dyDescent="0.3">
      <c r="B12" s="20" t="s">
        <v>74</v>
      </c>
      <c r="C12" s="21">
        <f>SUM(C9,C11)</f>
        <v>16130.647195301746</v>
      </c>
      <c r="D12" s="21">
        <f t="shared" ref="D12:J12" si="3">SUM(D9,D11)</f>
        <v>17473.908279525815</v>
      </c>
      <c r="E12" s="21">
        <f t="shared" si="3"/>
        <v>25180.905238169787</v>
      </c>
      <c r="F12" s="21">
        <f t="shared" si="3"/>
        <v>29046.196982725611</v>
      </c>
      <c r="G12" s="21">
        <f t="shared" si="3"/>
        <v>31748.810453637816</v>
      </c>
      <c r="H12" s="21">
        <f t="shared" si="3"/>
        <v>34721.685271641269</v>
      </c>
      <c r="I12" s="21">
        <f t="shared" si="3"/>
        <v>37991.84757144504</v>
      </c>
      <c r="J12" s="21">
        <f t="shared" si="3"/>
        <v>41589.026101229196</v>
      </c>
    </row>
    <row r="14" spans="2:10" x14ac:dyDescent="0.3">
      <c r="B14" t="str" cm="1">
        <f t="array" ref="B14:B15">BS!B9:B10</f>
        <v>Inventory</v>
      </c>
      <c r="C14" s="31"/>
      <c r="D14" s="18">
        <f>-(BS!D9-BS!C9)</f>
        <v>-5229.6000000000022</v>
      </c>
      <c r="E14" s="18">
        <f>-(BS!E9-BS!D9)</f>
        <v>-9815.1999999999971</v>
      </c>
      <c r="F14" s="18">
        <f>-(BS!F9-BS!E9)</f>
        <v>2743.8851521324395</v>
      </c>
      <c r="G14" s="18">
        <f>-(BS!G9-BS!F9)</f>
        <v>-4346.8114847867546</v>
      </c>
      <c r="H14" s="18">
        <f>-(BS!H9-BS!G9)</f>
        <v>-4781.4926332654431</v>
      </c>
      <c r="I14" s="18">
        <f>-(BS!I9-BS!H9)</f>
        <v>-5259.6418965919875</v>
      </c>
      <c r="J14" s="18">
        <f>-(BS!J9-BS!I9)</f>
        <v>-5785.6060862511804</v>
      </c>
    </row>
    <row r="15" spans="2:10" x14ac:dyDescent="0.3">
      <c r="B15" t="str">
        <v>Trade receivables</v>
      </c>
      <c r="C15" s="31"/>
      <c r="D15" s="18">
        <f>-(BS!D10-BS!C10)</f>
        <v>-5672.4000000000015</v>
      </c>
      <c r="E15" s="18">
        <f>-(BS!E10-BS!D10)</f>
        <v>-5025.5999999999985</v>
      </c>
      <c r="F15" s="18">
        <f>-(BS!F10-BS!E10)</f>
        <v>-2193.387776947362</v>
      </c>
      <c r="G15" s="18">
        <f>-(BS!G10-BS!F10)</f>
        <v>-4577.4987776947455</v>
      </c>
      <c r="H15" s="18">
        <f>-(BS!H10-BS!G10)</f>
        <v>-5035.2486554642092</v>
      </c>
      <c r="I15" s="18">
        <f>-(BS!I10-BS!H10)</f>
        <v>-5538.7735210106548</v>
      </c>
      <c r="J15" s="18">
        <f>-(BS!J10-BS!I10)</f>
        <v>-6092.6508731116992</v>
      </c>
    </row>
    <row r="16" spans="2:10" x14ac:dyDescent="0.3">
      <c r="B16" t="str">
        <f>BS!B15</f>
        <v>Trade payable</v>
      </c>
      <c r="C16" s="31"/>
      <c r="D16" s="18">
        <f>BS!D15-BS!C15</f>
        <v>10460.399999999998</v>
      </c>
      <c r="E16" s="18">
        <f>BS!E15-BS!D15</f>
        <v>9838</v>
      </c>
      <c r="F16" s="18">
        <f>BS!F15-BS!E15</f>
        <v>-6461.3857634556334</v>
      </c>
      <c r="G16" s="18">
        <f>BS!G15-BS!F15</f>
        <v>2972.8214236544336</v>
      </c>
      <c r="H16" s="18">
        <f>BS!H15-BS!G15</f>
        <v>3270.1035660198868</v>
      </c>
      <c r="I16" s="18">
        <f>BS!I15-BS!H15</f>
        <v>3597.1139226218802</v>
      </c>
      <c r="J16" s="18">
        <f>BS!J15-BS!I15</f>
        <v>3956.8253148840595</v>
      </c>
    </row>
    <row r="17" spans="2:10" x14ac:dyDescent="0.3">
      <c r="B17" s="20" t="s">
        <v>75</v>
      </c>
      <c r="C17" s="32"/>
      <c r="D17" s="21">
        <f>SUM(D14:D16)</f>
        <v>-441.60000000000582</v>
      </c>
      <c r="E17" s="21">
        <f t="shared" ref="E17:J17" si="4">SUM(E14:E16)</f>
        <v>-5002.7999999999956</v>
      </c>
      <c r="F17" s="21">
        <f t="shared" si="4"/>
        <v>-5910.8883882705559</v>
      </c>
      <c r="G17" s="21">
        <f t="shared" si="4"/>
        <v>-5951.4888388270665</v>
      </c>
      <c r="H17" s="21">
        <f t="shared" si="4"/>
        <v>-6546.6377227097655</v>
      </c>
      <c r="I17" s="21">
        <f t="shared" si="4"/>
        <v>-7201.3014949807621</v>
      </c>
      <c r="J17" s="21">
        <f t="shared" si="4"/>
        <v>-7921.4316444788201</v>
      </c>
    </row>
    <row r="19" spans="2:10" x14ac:dyDescent="0.3">
      <c r="B19" t="str">
        <f>BS!B11</f>
        <v>Other assets</v>
      </c>
      <c r="C19" s="31"/>
      <c r="D19" s="18">
        <f>-(BS!D11-BS!C11)</f>
        <v>-2517.5999999999985</v>
      </c>
      <c r="E19" s="18">
        <f>-(BS!E11-BS!D11)</f>
        <v>-6243.6</v>
      </c>
      <c r="F19" s="18">
        <f>-(BS!F11-BS!E11)</f>
        <v>2735.2815156607121</v>
      </c>
      <c r="G19" s="18">
        <f>-(BS!G11-BS!F11)</f>
        <v>-1486.7518484339289</v>
      </c>
      <c r="H19" s="18">
        <f>-(BS!H11-BS!G11)</f>
        <v>-1635.4270332773231</v>
      </c>
      <c r="I19" s="18">
        <f>-(BS!I11-BS!H11)</f>
        <v>-1798.9697366050605</v>
      </c>
      <c r="J19" s="18">
        <f>-(BS!J11-BS!I11)</f>
        <v>-1978.86671026556</v>
      </c>
    </row>
    <row r="20" spans="2:10" x14ac:dyDescent="0.3">
      <c r="B20" t="str">
        <f>BS!B16</f>
        <v>Other liabilities</v>
      </c>
      <c r="C20" s="31"/>
      <c r="D20" s="18">
        <f>BS!D16-BS!C16</f>
        <v>-168.68266666668387</v>
      </c>
      <c r="E20" s="18">
        <f>BS!E16-BS!D16</f>
        <v>2673.0904253970366</v>
      </c>
      <c r="F20" s="18">
        <f>BS!F16-BS!E16</f>
        <v>-443.5025814632927</v>
      </c>
      <c r="G20" s="18">
        <f>BS!G16-BS!F16</f>
        <v>802.99438439337519</v>
      </c>
      <c r="H20" s="18">
        <f>BS!H16-BS!G16</f>
        <v>883.2938228327148</v>
      </c>
      <c r="I20" s="18">
        <f>BS!I16-BS!H16</f>
        <v>971.62320511598591</v>
      </c>
      <c r="J20" s="18">
        <f>BS!J16-BS!I16</f>
        <v>1068.7855256275816</v>
      </c>
    </row>
    <row r="21" spans="2:10" x14ac:dyDescent="0.3">
      <c r="B21" s="20" t="s">
        <v>76</v>
      </c>
      <c r="C21" s="32"/>
      <c r="D21" s="21">
        <f>SUM(D19:D20)</f>
        <v>-2686.2826666666824</v>
      </c>
      <c r="E21" s="21">
        <f t="shared" ref="E21:J21" si="5">SUM(E19:E20)</f>
        <v>-3570.5095746029638</v>
      </c>
      <c r="F21" s="21">
        <f t="shared" si="5"/>
        <v>2291.7789341974194</v>
      </c>
      <c r="G21" s="21">
        <f t="shared" si="5"/>
        <v>-683.75746404055371</v>
      </c>
      <c r="H21" s="21">
        <f t="shared" si="5"/>
        <v>-752.13321044460827</v>
      </c>
      <c r="I21" s="21">
        <f t="shared" si="5"/>
        <v>-827.34653148907455</v>
      </c>
      <c r="J21" s="21">
        <f t="shared" si="5"/>
        <v>-910.08118463797837</v>
      </c>
    </row>
    <row r="23" spans="2:10" x14ac:dyDescent="0.3">
      <c r="B23" s="20" t="s">
        <v>77</v>
      </c>
      <c r="C23" s="32"/>
      <c r="D23" s="21">
        <f>-(BS!D7-BS!C7)+'P&amp;L'!F13</f>
        <v>-8615.7999999999993</v>
      </c>
      <c r="E23" s="21">
        <f>-(BS!E7-BS!D7)+'P&amp;L'!G13</f>
        <v>-13467.459999999995</v>
      </c>
      <c r="F23" s="21">
        <f>-(BS!F7-BS!E7)+'P&amp;L'!H13</f>
        <v>-10664.896769381185</v>
      </c>
      <c r="G23" s="21">
        <f>-(BS!G7-BS!F7)+'P&amp;L'!I13</f>
        <v>-13553.487676938123</v>
      </c>
      <c r="H23" s="21">
        <f>-(BS!H7-BS!G7)+'P&amp;L'!J13</f>
        <v>-14908.836444631947</v>
      </c>
      <c r="I23" s="21">
        <f>-(BS!I7-BS!H7)+'P&amp;L'!K13</f>
        <v>-16399.720089095143</v>
      </c>
      <c r="J23" s="21">
        <f>-(BS!J7-BS!I7)+'P&amp;L'!L13</f>
        <v>-18039.692098004642</v>
      </c>
    </row>
    <row r="25" spans="2:10" x14ac:dyDescent="0.3">
      <c r="B25" s="20" t="s">
        <v>78</v>
      </c>
      <c r="C25" s="32"/>
      <c r="D25" s="21">
        <f>-(BS!D6-BS!C6)-(BS!D8-BS!C8)</f>
        <v>-885.39999999999964</v>
      </c>
      <c r="E25" s="21">
        <f>-(BS!E6-BS!D6)-(BS!E8-BS!D8)</f>
        <v>-302</v>
      </c>
      <c r="F25" s="21">
        <f>-(BS!F6-BS!E6)-(BS!F8-BS!E8)</f>
        <v>0</v>
      </c>
      <c r="G25" s="21">
        <f>-(BS!G6-BS!F6)-(BS!G8-BS!F8)</f>
        <v>0</v>
      </c>
      <c r="H25" s="21">
        <f>-(BS!H6-BS!G6)-(BS!H8-BS!G8)</f>
        <v>0</v>
      </c>
      <c r="I25" s="21">
        <f>-(BS!I6-BS!H6)-(BS!I8-BS!H8)</f>
        <v>0</v>
      </c>
      <c r="J25" s="21">
        <f>-(BS!J6-BS!I6)-(BS!J8-BS!I8)</f>
        <v>0</v>
      </c>
    </row>
    <row r="27" spans="2:10" x14ac:dyDescent="0.3">
      <c r="B27" s="22" t="str" cm="1">
        <f t="array" ref="B27:J27">_xlfn.ANCHORARRAY('P&amp;L'!D16)</f>
        <v>Extraordinary income</v>
      </c>
      <c r="C27" s="30">
        <v>-317.58000000000004</v>
      </c>
      <c r="D27" s="30">
        <v>-864.30000000000007</v>
      </c>
      <c r="E27" s="30">
        <v>-320.26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</row>
    <row r="29" spans="2:10" x14ac:dyDescent="0.3">
      <c r="B29" s="33" t="s">
        <v>79</v>
      </c>
      <c r="C29" s="34"/>
      <c r="D29" s="35">
        <f>SUM(D12,D17,D21,D23,D25,D27)</f>
        <v>3980.5256128591272</v>
      </c>
      <c r="E29" s="35">
        <f t="shared" ref="E29:J29" si="6">SUM(E12,E17,E21,E23,E25,E27)</f>
        <v>2517.8756635668306</v>
      </c>
      <c r="F29" s="35">
        <f t="shared" si="6"/>
        <v>14762.190759271291</v>
      </c>
      <c r="G29" s="35">
        <f t="shared" si="6"/>
        <v>11560.076473832072</v>
      </c>
      <c r="H29" s="35">
        <f t="shared" si="6"/>
        <v>12514.077893854948</v>
      </c>
      <c r="I29" s="35">
        <f t="shared" si="6"/>
        <v>13563.47945588006</v>
      </c>
      <c r="J29" s="35">
        <f t="shared" si="6"/>
        <v>14717.821174107754</v>
      </c>
    </row>
    <row r="31" spans="2:10" x14ac:dyDescent="0.3">
      <c r="B31" t="str" cm="1">
        <f t="array" ref="B31:J31">_xlfn.ANCHORARRAY('P&amp;L'!D15)</f>
        <v>Interest Expense</v>
      </c>
      <c r="C31" s="18">
        <v>-1266.3000000000002</v>
      </c>
      <c r="D31" s="18">
        <v>-2190.9</v>
      </c>
      <c r="E31" s="18">
        <v>-2663.92</v>
      </c>
      <c r="F31" s="18">
        <v>-2930.3119999999999</v>
      </c>
      <c r="G31" s="18">
        <v>-3223.3432000000003</v>
      </c>
      <c r="H31" s="18">
        <v>-3545.6775200000006</v>
      </c>
      <c r="I31" s="18">
        <v>-3900.2452720000015</v>
      </c>
      <c r="J31" s="18">
        <v>-4290.2697992000021</v>
      </c>
    </row>
    <row r="32" spans="2:10" x14ac:dyDescent="0.3">
      <c r="B32" t="s">
        <v>80</v>
      </c>
      <c r="C32" s="18">
        <f>'P&amp;L'!E18-CF!C8</f>
        <v>380.89413803155549</v>
      </c>
      <c r="D32" s="18">
        <f>'P&amp;L'!F18-CF!D8</f>
        <v>689.83572047420876</v>
      </c>
      <c r="E32" s="18">
        <f>'P&amp;L'!G18-CF!E8</f>
        <v>565.08833643320941</v>
      </c>
      <c r="F32" s="18">
        <f>'P&amp;L'!H18-CF!F8</f>
        <v>640.40379068179755</v>
      </c>
      <c r="G32" s="18">
        <f>'P&amp;L'!I18-CF!G8</f>
        <v>704.44416974997785</v>
      </c>
      <c r="H32" s="18">
        <f>'P&amp;L'!J18-CF!H8</f>
        <v>774.88858672497554</v>
      </c>
      <c r="I32" s="18">
        <f>'P&amp;L'!K18-CF!I8</f>
        <v>852.37744539747291</v>
      </c>
      <c r="J32" s="18">
        <f>'P&amp;L'!L18-CF!J8</f>
        <v>937.61518993722075</v>
      </c>
    </row>
    <row r="33" spans="2:10" x14ac:dyDescent="0.3">
      <c r="B33" t="str" cm="1">
        <f t="array" ref="B33:B34">BS!B17:B18</f>
        <v>Financial Liabilities</v>
      </c>
      <c r="C33" s="31"/>
      <c r="D33" s="18">
        <f>BS!D17-BS!C17</f>
        <v>9352.3999999999942</v>
      </c>
      <c r="E33" s="18">
        <f>BS!E17-BS!D17</f>
        <v>475.39999999999418</v>
      </c>
      <c r="F33" s="18">
        <f>BS!F17-BS!E17</f>
        <v>0</v>
      </c>
      <c r="G33" s="18">
        <f>BS!G17-BS!F17</f>
        <v>0</v>
      </c>
      <c r="H33" s="18">
        <f>BS!H17-BS!G17</f>
        <v>0</v>
      </c>
      <c r="I33" s="18">
        <f>BS!I17-BS!H17</f>
        <v>0</v>
      </c>
      <c r="J33" s="18">
        <f>BS!J17-BS!I17</f>
        <v>0</v>
      </c>
    </row>
    <row r="34" spans="2:10" x14ac:dyDescent="0.3">
      <c r="B34" t="str">
        <v>Total Equity</v>
      </c>
      <c r="C34" s="31"/>
      <c r="D34" s="18">
        <f>(BS!D18-BS!C18)-'P&amp;L'!F20</f>
        <v>-4214.2613333332738</v>
      </c>
      <c r="E34" s="18">
        <f>(BS!E18-BS!D18)-'P&amp;L'!G20</f>
        <v>-12129.644000000029</v>
      </c>
      <c r="F34" s="18">
        <f>(BS!F18-BS!E18)-'P&amp;L'!H20</f>
        <v>0</v>
      </c>
      <c r="G34" s="18">
        <f>(BS!G18-BS!F18)-'P&amp;L'!I20</f>
        <v>0</v>
      </c>
      <c r="H34" s="18">
        <f>(BS!H18-BS!G18)-'P&amp;L'!J20</f>
        <v>0</v>
      </c>
      <c r="I34" s="18">
        <f>(BS!I18-BS!H18)-'P&amp;L'!K20</f>
        <v>0</v>
      </c>
      <c r="J34" s="18">
        <f>(BS!J18-BS!I18)-'P&amp;L'!L20</f>
        <v>0</v>
      </c>
    </row>
    <row r="35" spans="2:10" x14ac:dyDescent="0.3">
      <c r="B35" s="33" t="s">
        <v>81</v>
      </c>
      <c r="C35" s="34"/>
      <c r="D35" s="35">
        <f>SUM(D31:D34,D29)</f>
        <v>7617.6000000000558</v>
      </c>
      <c r="E35" s="35">
        <f t="shared" ref="E35:J35" si="7">SUM(E31:E34,E29)</f>
        <v>-11235.199999999995</v>
      </c>
      <c r="F35" s="35">
        <f t="shared" si="7"/>
        <v>12472.282549953088</v>
      </c>
      <c r="G35" s="35">
        <f t="shared" si="7"/>
        <v>9041.1774435820498</v>
      </c>
      <c r="H35" s="35">
        <f t="shared" si="7"/>
        <v>9743.2889605799228</v>
      </c>
      <c r="I35" s="35">
        <f t="shared" si="7"/>
        <v>10515.611629277531</v>
      </c>
      <c r="J35" s="35">
        <f t="shared" si="7"/>
        <v>11365.166564844973</v>
      </c>
    </row>
    <row r="36" spans="2:10" x14ac:dyDescent="0.3">
      <c r="C36" s="18">
        <f>BS!C12</f>
        <v>11791.199999999999</v>
      </c>
      <c r="D36" s="18">
        <f>C36+D35</f>
        <v>19408.800000000054</v>
      </c>
      <c r="E36" s="18">
        <f t="shared" ref="E36:J36" si="8">D36+E35</f>
        <v>8173.6000000000586</v>
      </c>
      <c r="F36" s="18">
        <f t="shared" si="8"/>
        <v>20645.882549953145</v>
      </c>
      <c r="G36" s="18">
        <f t="shared" si="8"/>
        <v>29687.059993535193</v>
      </c>
      <c r="H36" s="18">
        <f t="shared" si="8"/>
        <v>39430.348954115114</v>
      </c>
      <c r="I36" s="18">
        <f t="shared" si="8"/>
        <v>49945.960583392647</v>
      </c>
      <c r="J36" s="18">
        <f t="shared" si="8"/>
        <v>61311.127148237618</v>
      </c>
    </row>
  </sheetData>
  <pageMargins left="0.7" right="0.7" top="0.75" bottom="0.75" header="0.3" footer="0.3"/>
  <pageSetup scale="7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EF54-F661-49A2-AF35-AF64105A266F}">
  <dimension ref="B1:J16"/>
  <sheetViews>
    <sheetView showGridLines="0" zoomScale="109" workbookViewId="0">
      <selection activeCell="F23" sqref="F23"/>
    </sheetView>
  </sheetViews>
  <sheetFormatPr defaultRowHeight="14.4" x14ac:dyDescent="0.3"/>
  <cols>
    <col min="1" max="1" width="2" customWidth="1"/>
    <col min="2" max="2" width="14.21875" customWidth="1"/>
    <col min="3" max="10" width="15.77734375" style="18" customWidth="1"/>
    <col min="11" max="21" width="15.77734375" customWidth="1"/>
  </cols>
  <sheetData>
    <row r="1" spans="2:10" x14ac:dyDescent="0.3">
      <c r="C1"/>
      <c r="D1"/>
      <c r="E1"/>
      <c r="F1"/>
      <c r="G1"/>
      <c r="H1"/>
      <c r="I1"/>
      <c r="J1"/>
    </row>
    <row r="2" spans="2:10" ht="18" x14ac:dyDescent="0.35">
      <c r="B2" s="23" t="s">
        <v>85</v>
      </c>
      <c r="C2"/>
      <c r="D2" t="s">
        <v>83</v>
      </c>
      <c r="E2" s="17">
        <v>0.1</v>
      </c>
      <c r="F2"/>
      <c r="G2"/>
      <c r="H2"/>
      <c r="I2"/>
      <c r="J2"/>
    </row>
    <row r="3" spans="2:10" ht="18" x14ac:dyDescent="0.35">
      <c r="B3" s="23"/>
      <c r="C3"/>
      <c r="D3" t="s">
        <v>84</v>
      </c>
      <c r="E3" s="17">
        <v>0.02</v>
      </c>
    </row>
    <row r="4" spans="2:10" ht="18" x14ac:dyDescent="0.35">
      <c r="B4" s="23"/>
      <c r="C4"/>
      <c r="D4"/>
      <c r="E4" s="17"/>
      <c r="F4">
        <v>1</v>
      </c>
      <c r="G4">
        <v>2</v>
      </c>
      <c r="H4">
        <v>3</v>
      </c>
      <c r="I4">
        <v>4</v>
      </c>
      <c r="J4">
        <v>5</v>
      </c>
    </row>
    <row r="5" spans="2:10" x14ac:dyDescent="0.3">
      <c r="B5" s="13"/>
      <c r="C5" s="14">
        <v>16</v>
      </c>
      <c r="D5" s="14">
        <f>C5+1</f>
        <v>17</v>
      </c>
      <c r="E5" s="14">
        <f t="shared" ref="E5:J5" si="0">D5+1</f>
        <v>18</v>
      </c>
      <c r="F5" s="14">
        <f t="shared" si="0"/>
        <v>19</v>
      </c>
      <c r="G5" s="14">
        <f t="shared" si="0"/>
        <v>20</v>
      </c>
      <c r="H5" s="14">
        <f t="shared" si="0"/>
        <v>21</v>
      </c>
      <c r="I5" s="14">
        <f t="shared" si="0"/>
        <v>22</v>
      </c>
      <c r="J5" s="14">
        <f t="shared" si="0"/>
        <v>23</v>
      </c>
    </row>
    <row r="6" spans="2:10" x14ac:dyDescent="0.3">
      <c r="B6" s="16"/>
      <c r="C6" s="24" t="s">
        <v>49</v>
      </c>
      <c r="D6" s="24" t="s">
        <v>49</v>
      </c>
      <c r="E6" s="24" t="s">
        <v>49</v>
      </c>
      <c r="F6" s="24" t="s">
        <v>50</v>
      </c>
      <c r="G6" s="24" t="s">
        <v>50</v>
      </c>
      <c r="H6" s="24" t="s">
        <v>50</v>
      </c>
      <c r="I6" s="24" t="s">
        <v>50</v>
      </c>
      <c r="J6" s="24" t="s">
        <v>50</v>
      </c>
    </row>
    <row r="7" spans="2:10" x14ac:dyDescent="0.3">
      <c r="B7" t="str" cm="1">
        <f t="array" ref="B7:J7">CF!B29:J29</f>
        <v>UFCF</v>
      </c>
      <c r="C7" s="18">
        <v>0</v>
      </c>
      <c r="D7" s="18">
        <v>3980.5256128591272</v>
      </c>
      <c r="E7" s="18">
        <v>2517.8756635668306</v>
      </c>
      <c r="F7" s="18">
        <v>14762.190759271291</v>
      </c>
      <c r="G7" s="18">
        <v>11560.076473832072</v>
      </c>
      <c r="H7" s="18">
        <v>12514.077893854948</v>
      </c>
      <c r="I7" s="18">
        <v>13563.47945588006</v>
      </c>
      <c r="J7" s="18">
        <v>14717.821174107754</v>
      </c>
    </row>
    <row r="9" spans="2:10" x14ac:dyDescent="0.3">
      <c r="C9" s="18" t="s">
        <v>82</v>
      </c>
      <c r="F9" s="18">
        <f>F7/(1+$E$2)^F4</f>
        <v>13420.173417519354</v>
      </c>
      <c r="G9" s="18">
        <f>G7/(1+$E$2)^G4</f>
        <v>9553.7822097785702</v>
      </c>
      <c r="H9" s="18">
        <f t="shared" ref="H9:J9" si="1">H7/(1+$E$2)^H4</f>
        <v>9402.0119412884633</v>
      </c>
      <c r="I9" s="18">
        <f t="shared" si="1"/>
        <v>9264.0389699337866</v>
      </c>
      <c r="J9" s="18">
        <f t="shared" si="1"/>
        <v>9138.6089959750316</v>
      </c>
    </row>
    <row r="10" spans="2:10" x14ac:dyDescent="0.3">
      <c r="C10" s="18" t="s">
        <v>86</v>
      </c>
      <c r="E10" s="18">
        <f>SUM(F9:J9)</f>
        <v>50778.615534495206</v>
      </c>
    </row>
    <row r="11" spans="2:10" x14ac:dyDescent="0.3">
      <c r="C11" s="18" t="s">
        <v>87</v>
      </c>
      <c r="E11" s="18">
        <f>J9*(1+E3)/(E2-E3)</f>
        <v>116517.26469868165</v>
      </c>
    </row>
    <row r="12" spans="2:10" x14ac:dyDescent="0.3">
      <c r="C12" s="18" t="s">
        <v>88</v>
      </c>
      <c r="E12" s="18">
        <f>E11/(1+E2)^J4</f>
        <v>72348.054155939186</v>
      </c>
    </row>
    <row r="13" spans="2:10" x14ac:dyDescent="0.3">
      <c r="C13" s="30" t="s">
        <v>89</v>
      </c>
      <c r="D13" s="30"/>
      <c r="E13" s="30">
        <f>SUM(E10,E12)</f>
        <v>123126.66969043438</v>
      </c>
    </row>
    <row r="14" spans="2:10" x14ac:dyDescent="0.3">
      <c r="C14" s="18" t="s">
        <v>72</v>
      </c>
      <c r="E14" s="18">
        <f>-BS!E17</f>
        <v>-51120.799999999996</v>
      </c>
    </row>
    <row r="15" spans="2:10" x14ac:dyDescent="0.3">
      <c r="C15" s="18" t="s">
        <v>90</v>
      </c>
      <c r="E15" s="18">
        <f>BS!E12</f>
        <v>8173.6</v>
      </c>
    </row>
    <row r="16" spans="2:10" x14ac:dyDescent="0.3">
      <c r="C16" s="18" t="s">
        <v>91</v>
      </c>
      <c r="E16" s="30">
        <f>SUM(E13:E15)</f>
        <v>80179.469690434402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P&amp;L source</vt:lpstr>
      <vt:lpstr>P&amp;L Assumption</vt:lpstr>
      <vt:lpstr>P&amp;L</vt:lpstr>
      <vt:lpstr>BS source</vt:lpstr>
      <vt:lpstr>BS Assumption</vt:lpstr>
      <vt:lpstr>BS</vt:lpstr>
      <vt:lpstr>CF</vt:lpstr>
      <vt:lpstr>Valuation</vt:lpstr>
      <vt:lpstr>BS!Print_Area</vt:lpstr>
      <vt:lpstr>'BS Assumption'!Print_Area</vt:lpstr>
      <vt:lpstr>CF!Print_Area</vt:lpstr>
      <vt:lpstr>'P&amp;L'!Print_Area</vt:lpstr>
      <vt:lpstr>'P&amp;L Assumption'!Print_Area</vt:lpstr>
      <vt:lpstr>'P&amp;L source'!Print_Area</vt:lpstr>
      <vt:lpstr>Valuation!Print_Area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mansoorakhtarsabri@gmail.com</dc:creator>
  <cp:lastModifiedBy>Muhammad Usman</cp:lastModifiedBy>
  <cp:lastPrinted>2025-11-23T12:11:00Z</cp:lastPrinted>
  <dcterms:created xsi:type="dcterms:W3CDTF">2025-10-17T06:43:58Z</dcterms:created>
  <dcterms:modified xsi:type="dcterms:W3CDTF">2025-11-23T16:23:04Z</dcterms:modified>
</cp:coreProperties>
</file>